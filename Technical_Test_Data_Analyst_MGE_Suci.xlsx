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D:\Work\Berkas\"/>
    </mc:Choice>
  </mc:AlternateContent>
  <xr:revisionPtr revIDLastSave="0" documentId="13_ncr:1_{5819269F-2DA0-4E25-9FBE-8D7B7588C483}" xr6:coauthVersionLast="47" xr6:coauthVersionMax="47" xr10:uidLastSave="{00000000-0000-0000-0000-000000000000}"/>
  <bookViews>
    <workbookView xWindow="-108" yWindow="-108" windowWidth="23256" windowHeight="12456" firstSheet="1" activeTab="4" xr2:uid="{00000000-000D-0000-FFFF-FFFF00000000}"/>
  </bookViews>
  <sheets>
    <sheet name="Soal" sheetId="1" r:id="rId1"/>
    <sheet name="Produksi" sheetId="3" r:id="rId2"/>
    <sheet name="Hauling" sheetId="4" r:id="rId3"/>
    <sheet name="Fleet Master" sheetId="5" r:id="rId4"/>
    <sheet name="Technical Test" sheetId="6" r:id="rId5"/>
    <sheet name="Produksi_Filled" sheetId="8" r:id="rId6"/>
    <sheet name="Produksi_Unik" sheetId="15" r:id="rId7"/>
    <sheet name="Hauling_Filled" sheetId="10" r:id="rId8"/>
    <sheet name="Hauling_Unik" sheetId="16" r:id="rId9"/>
  </sheets>
  <definedNames>
    <definedName name="_xlnm._FilterDatabase" localSheetId="2" hidden="1">Hauling!$A$1:$G$301</definedName>
    <definedName name="_xlnm._FilterDatabase" localSheetId="7" hidden="1">Hauling_Filled!$A$1:$G$301</definedName>
    <definedName name="_xlnm._FilterDatabase" localSheetId="8" hidden="1">Hauling_Unik!$A$1:$I$150</definedName>
    <definedName name="_xlnm._FilterDatabase" localSheetId="1" hidden="1">Produksi!$A$1:$K$301</definedName>
    <definedName name="_xlnm._FilterDatabase" localSheetId="5" hidden="1">Produksi_Filled!$A$1:$L$301</definedName>
    <definedName name="_xlnm._FilterDatabase" localSheetId="6" hidden="1">Produksi_Unik!$A$1:$Q$301</definedName>
  </definedNames>
  <calcPr calcId="191029"/>
  <pivotCaches>
    <pivotCache cacheId="0" r:id="rId10"/>
    <pivotCache cacheId="1" r:id="rId1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3" i="6" l="1"/>
  <c r="C53" i="6"/>
  <c r="H63" i="6"/>
  <c r="H61" i="6"/>
  <c r="H62" i="6"/>
  <c r="H60" i="6"/>
  <c r="Q3" i="15"/>
  <c r="Q4" i="15"/>
  <c r="Q5" i="15"/>
  <c r="Q6" i="15"/>
  <c r="Q7" i="15"/>
  <c r="Q8" i="15"/>
  <c r="Q9" i="15"/>
  <c r="Q10" i="15"/>
  <c r="Q11" i="15"/>
  <c r="Q12" i="15"/>
  <c r="Q13" i="15"/>
  <c r="Q14" i="15"/>
  <c r="Q15" i="15"/>
  <c r="Q16" i="15"/>
  <c r="Q17" i="15"/>
  <c r="Q18" i="15"/>
  <c r="Q19" i="15"/>
  <c r="Q20" i="15"/>
  <c r="Q21" i="15"/>
  <c r="Q22" i="15"/>
  <c r="Q23" i="15"/>
  <c r="Q24" i="15"/>
  <c r="Q25" i="15"/>
  <c r="Q26" i="15"/>
  <c r="Q27" i="15"/>
  <c r="Q28" i="15"/>
  <c r="Q29" i="15"/>
  <c r="Q30" i="15"/>
  <c r="Q31" i="15"/>
  <c r="Q32" i="15"/>
  <c r="Q33" i="15"/>
  <c r="Q34" i="15"/>
  <c r="Q35" i="15"/>
  <c r="Q36" i="15"/>
  <c r="Q37" i="15"/>
  <c r="Q38" i="15"/>
  <c r="Q39" i="15"/>
  <c r="Q40" i="15"/>
  <c r="Q41" i="15"/>
  <c r="Q42" i="15"/>
  <c r="Q43" i="15"/>
  <c r="Q44" i="15"/>
  <c r="Q45" i="15"/>
  <c r="Q46" i="15"/>
  <c r="Q47" i="15"/>
  <c r="Q48" i="15"/>
  <c r="Q49" i="15"/>
  <c r="Q50" i="15"/>
  <c r="Q51" i="15"/>
  <c r="Q52" i="15"/>
  <c r="Q53" i="15"/>
  <c r="Q54" i="15"/>
  <c r="Q55" i="15"/>
  <c r="Q56" i="15"/>
  <c r="Q57" i="15"/>
  <c r="Q58" i="15"/>
  <c r="Q59" i="15"/>
  <c r="Q60" i="15"/>
  <c r="Q61" i="15"/>
  <c r="Q62" i="15"/>
  <c r="Q63" i="15"/>
  <c r="Q64" i="15"/>
  <c r="Q65" i="15"/>
  <c r="Q66" i="15"/>
  <c r="Q67" i="15"/>
  <c r="Q68" i="15"/>
  <c r="Q69" i="15"/>
  <c r="Q70" i="15"/>
  <c r="Q71" i="15"/>
  <c r="Q72" i="15"/>
  <c r="Q73" i="15"/>
  <c r="Q74" i="15"/>
  <c r="Q75" i="15"/>
  <c r="Q76" i="15"/>
  <c r="Q77" i="15"/>
  <c r="Q78" i="15"/>
  <c r="Q79" i="15"/>
  <c r="Q80" i="15"/>
  <c r="Q81" i="15"/>
  <c r="Q82" i="15"/>
  <c r="Q83" i="15"/>
  <c r="Q84" i="15"/>
  <c r="Q85" i="15"/>
  <c r="Q86" i="15"/>
  <c r="Q87" i="15"/>
  <c r="Q88" i="15"/>
  <c r="Q89" i="15"/>
  <c r="Q90" i="15"/>
  <c r="Q91" i="15"/>
  <c r="Q92" i="15"/>
  <c r="Q93" i="15"/>
  <c r="Q94" i="15"/>
  <c r="Q95" i="15"/>
  <c r="Q96" i="15"/>
  <c r="Q97" i="15"/>
  <c r="Q98" i="15"/>
  <c r="Q99" i="15"/>
  <c r="Q100" i="15"/>
  <c r="Q101" i="15"/>
  <c r="Q102" i="15"/>
  <c r="Q103" i="15"/>
  <c r="Q104" i="15"/>
  <c r="Q105" i="15"/>
  <c r="Q106" i="15"/>
  <c r="Q107" i="15"/>
  <c r="Q108" i="15"/>
  <c r="Q109" i="15"/>
  <c r="Q110" i="15"/>
  <c r="Q111" i="15"/>
  <c r="Q112" i="15"/>
  <c r="Q113" i="15"/>
  <c r="Q114" i="15"/>
  <c r="Q115" i="15"/>
  <c r="Q116" i="15"/>
  <c r="Q117" i="15"/>
  <c r="Q118" i="15"/>
  <c r="Q119" i="15"/>
  <c r="Q120" i="15"/>
  <c r="Q121" i="15"/>
  <c r="Q122" i="15"/>
  <c r="Q123" i="15"/>
  <c r="Q124" i="15"/>
  <c r="Q125" i="15"/>
  <c r="Q126" i="15"/>
  <c r="Q127" i="15"/>
  <c r="Q128" i="15"/>
  <c r="Q129" i="15"/>
  <c r="Q130" i="15"/>
  <c r="Q131" i="15"/>
  <c r="Q132" i="15"/>
  <c r="Q133" i="15"/>
  <c r="Q134" i="15"/>
  <c r="Q135" i="15"/>
  <c r="Q136" i="15"/>
  <c r="Q137" i="15"/>
  <c r="Q138" i="15"/>
  <c r="Q139" i="15"/>
  <c r="Q140" i="15"/>
  <c r="Q141" i="15"/>
  <c r="Q142" i="15"/>
  <c r="Q143" i="15"/>
  <c r="Q144" i="15"/>
  <c r="Q145" i="15"/>
  <c r="Q146" i="15"/>
  <c r="Q147" i="15"/>
  <c r="Q148" i="15"/>
  <c r="Q149" i="15"/>
  <c r="Q150" i="15"/>
  <c r="Q2" i="15"/>
  <c r="P150" i="15"/>
  <c r="P149" i="15"/>
  <c r="P148" i="15"/>
  <c r="P147" i="15"/>
  <c r="P146" i="15"/>
  <c r="P145" i="15"/>
  <c r="P144" i="15"/>
  <c r="P143" i="15"/>
  <c r="P142" i="15"/>
  <c r="P141" i="15"/>
  <c r="P140" i="15"/>
  <c r="P139" i="15"/>
  <c r="P138" i="15"/>
  <c r="P137" i="15"/>
  <c r="P136" i="15"/>
  <c r="P135" i="15"/>
  <c r="P134" i="15"/>
  <c r="P133" i="15"/>
  <c r="P132" i="15"/>
  <c r="P131" i="15"/>
  <c r="P130" i="15"/>
  <c r="P129" i="15"/>
  <c r="P128" i="15"/>
  <c r="P127" i="15"/>
  <c r="P126" i="15"/>
  <c r="P125" i="15"/>
  <c r="P124" i="15"/>
  <c r="P123" i="15"/>
  <c r="P122" i="15"/>
  <c r="P121" i="15"/>
  <c r="P120" i="15"/>
  <c r="P119" i="15"/>
  <c r="P118" i="15"/>
  <c r="P117" i="15"/>
  <c r="P116" i="15"/>
  <c r="P115" i="15"/>
  <c r="P114" i="15"/>
  <c r="P113" i="15"/>
  <c r="P112" i="15"/>
  <c r="P111" i="15"/>
  <c r="P110" i="15"/>
  <c r="P109" i="15"/>
  <c r="P108" i="15"/>
  <c r="P107" i="15"/>
  <c r="P106" i="15"/>
  <c r="P105" i="15"/>
  <c r="P104" i="15"/>
  <c r="P103" i="15"/>
  <c r="P102" i="15"/>
  <c r="P101" i="15"/>
  <c r="P100" i="15"/>
  <c r="P99" i="15"/>
  <c r="P98" i="15"/>
  <c r="P97" i="15"/>
  <c r="P96" i="15"/>
  <c r="P95" i="15"/>
  <c r="P94" i="15"/>
  <c r="P93" i="15"/>
  <c r="P92" i="15"/>
  <c r="P91" i="15"/>
  <c r="P90" i="15"/>
  <c r="P89" i="15"/>
  <c r="P88" i="15"/>
  <c r="P87" i="15"/>
  <c r="P86" i="15"/>
  <c r="P85" i="15"/>
  <c r="P84" i="15"/>
  <c r="P83" i="15"/>
  <c r="P82" i="15"/>
  <c r="P81" i="15"/>
  <c r="P80" i="15"/>
  <c r="P79" i="15"/>
  <c r="P78" i="15"/>
  <c r="P77" i="15"/>
  <c r="P76" i="15"/>
  <c r="P75" i="15"/>
  <c r="P74" i="15"/>
  <c r="P73" i="15"/>
  <c r="P72" i="15"/>
  <c r="P71" i="15"/>
  <c r="P70" i="15"/>
  <c r="P69" i="15"/>
  <c r="P68" i="15"/>
  <c r="P67" i="15"/>
  <c r="P66" i="15"/>
  <c r="P65" i="15"/>
  <c r="P64" i="15"/>
  <c r="P63" i="15"/>
  <c r="P62" i="15"/>
  <c r="P61" i="15"/>
  <c r="P60" i="15"/>
  <c r="P59" i="15"/>
  <c r="P58" i="15"/>
  <c r="P57" i="15"/>
  <c r="P56" i="15"/>
  <c r="P55" i="15"/>
  <c r="P54" i="15"/>
  <c r="P53" i="15"/>
  <c r="P52" i="15"/>
  <c r="P51" i="15"/>
  <c r="P50" i="15"/>
  <c r="P49" i="15"/>
  <c r="P48" i="15"/>
  <c r="P47" i="15"/>
  <c r="P46" i="15"/>
  <c r="P45" i="15"/>
  <c r="P44" i="15"/>
  <c r="P43" i="15"/>
  <c r="P42" i="15"/>
  <c r="P41" i="15"/>
  <c r="P40" i="15"/>
  <c r="P39" i="15"/>
  <c r="P38" i="15"/>
  <c r="P37" i="15"/>
  <c r="P36" i="15"/>
  <c r="P35" i="15"/>
  <c r="P34" i="15"/>
  <c r="P33" i="15"/>
  <c r="P32" i="15"/>
  <c r="P31" i="15"/>
  <c r="P30" i="15"/>
  <c r="P29" i="15"/>
  <c r="P28" i="15"/>
  <c r="P27" i="15"/>
  <c r="P26" i="15"/>
  <c r="P25" i="15"/>
  <c r="P24" i="15"/>
  <c r="P23" i="15"/>
  <c r="P22" i="15"/>
  <c r="P21" i="15"/>
  <c r="P20" i="15"/>
  <c r="P19" i="15"/>
  <c r="P18" i="15"/>
  <c r="P17" i="15"/>
  <c r="P16" i="15"/>
  <c r="P15" i="15"/>
  <c r="P14" i="15"/>
  <c r="P13" i="15"/>
  <c r="P12" i="15"/>
  <c r="P11" i="15"/>
  <c r="P10" i="15"/>
  <c r="P9" i="15"/>
  <c r="P8" i="15"/>
  <c r="P7" i="15"/>
  <c r="P6" i="15"/>
  <c r="P5" i="15"/>
  <c r="P4" i="15"/>
  <c r="P3" i="15"/>
  <c r="P2" i="15"/>
  <c r="M3" i="15"/>
  <c r="M4" i="15"/>
  <c r="M5" i="15"/>
  <c r="M6" i="15"/>
  <c r="M7" i="15"/>
  <c r="M8" i="15"/>
  <c r="M9" i="15"/>
  <c r="M10" i="15"/>
  <c r="M11" i="15"/>
  <c r="M12" i="15"/>
  <c r="M13" i="15"/>
  <c r="M14" i="15"/>
  <c r="M15" i="15"/>
  <c r="M16" i="15"/>
  <c r="M17" i="15"/>
  <c r="M18" i="15"/>
  <c r="M19" i="15"/>
  <c r="M20" i="15"/>
  <c r="M21" i="15"/>
  <c r="M22" i="15"/>
  <c r="M23" i="15"/>
  <c r="M24" i="15"/>
  <c r="M25" i="15"/>
  <c r="M26" i="15"/>
  <c r="M27" i="15"/>
  <c r="M28" i="15"/>
  <c r="M29" i="15"/>
  <c r="M30" i="15"/>
  <c r="M31" i="15"/>
  <c r="M32" i="15"/>
  <c r="M33" i="15"/>
  <c r="M34" i="15"/>
  <c r="M35" i="15"/>
  <c r="M36" i="15"/>
  <c r="M37" i="15"/>
  <c r="M38" i="15"/>
  <c r="M39" i="15"/>
  <c r="M40" i="15"/>
  <c r="M41" i="15"/>
  <c r="M42" i="15"/>
  <c r="M43" i="15"/>
  <c r="M44" i="15"/>
  <c r="M45" i="15"/>
  <c r="M46" i="15"/>
  <c r="M47" i="15"/>
  <c r="M48" i="15"/>
  <c r="M49" i="15"/>
  <c r="M50" i="15"/>
  <c r="M51" i="15"/>
  <c r="M52" i="15"/>
  <c r="M53" i="15"/>
  <c r="M54" i="15"/>
  <c r="M55" i="15"/>
  <c r="M56" i="15"/>
  <c r="M57" i="15"/>
  <c r="M58" i="15"/>
  <c r="M59" i="15"/>
  <c r="M60" i="15"/>
  <c r="M61" i="15"/>
  <c r="M62" i="15"/>
  <c r="M63" i="15"/>
  <c r="M64" i="15"/>
  <c r="M65" i="15"/>
  <c r="M66" i="15"/>
  <c r="M67" i="15"/>
  <c r="M68" i="15"/>
  <c r="M69" i="15"/>
  <c r="M70" i="15"/>
  <c r="M71" i="15"/>
  <c r="M72" i="15"/>
  <c r="M73" i="15"/>
  <c r="M74" i="15"/>
  <c r="M75" i="15"/>
  <c r="M76" i="15"/>
  <c r="M77" i="15"/>
  <c r="M78" i="15"/>
  <c r="M79" i="15"/>
  <c r="M80" i="15"/>
  <c r="M81" i="15"/>
  <c r="M82" i="15"/>
  <c r="M83" i="15"/>
  <c r="M84" i="15"/>
  <c r="M85" i="15"/>
  <c r="M86" i="15"/>
  <c r="M87" i="15"/>
  <c r="M88" i="15"/>
  <c r="M89" i="15"/>
  <c r="M90" i="15"/>
  <c r="M91" i="15"/>
  <c r="M92" i="15"/>
  <c r="M93" i="15"/>
  <c r="M94" i="15"/>
  <c r="M95" i="15"/>
  <c r="M96" i="15"/>
  <c r="M97" i="15"/>
  <c r="M98" i="15"/>
  <c r="M99" i="15"/>
  <c r="M100" i="15"/>
  <c r="M101" i="15"/>
  <c r="M102" i="15"/>
  <c r="M103" i="15"/>
  <c r="M104" i="15"/>
  <c r="M105" i="15"/>
  <c r="M106" i="15"/>
  <c r="M107" i="15"/>
  <c r="M108" i="15"/>
  <c r="M109" i="15"/>
  <c r="M110" i="15"/>
  <c r="M111" i="15"/>
  <c r="M112" i="15"/>
  <c r="M113" i="15"/>
  <c r="M114" i="15"/>
  <c r="M115" i="15"/>
  <c r="M116" i="15"/>
  <c r="M117" i="15"/>
  <c r="M118" i="15"/>
  <c r="M119" i="15"/>
  <c r="M120" i="15"/>
  <c r="M121" i="15"/>
  <c r="M122" i="15"/>
  <c r="M123" i="15"/>
  <c r="M124" i="15"/>
  <c r="M125" i="15"/>
  <c r="M126" i="15"/>
  <c r="M127" i="15"/>
  <c r="M128" i="15"/>
  <c r="M129" i="15"/>
  <c r="M130" i="15"/>
  <c r="M131" i="15"/>
  <c r="M132" i="15"/>
  <c r="M133" i="15"/>
  <c r="M134" i="15"/>
  <c r="M135" i="15"/>
  <c r="M136" i="15"/>
  <c r="M137" i="15"/>
  <c r="M138" i="15"/>
  <c r="M139" i="15"/>
  <c r="M140" i="15"/>
  <c r="M141" i="15"/>
  <c r="M142" i="15"/>
  <c r="M143" i="15"/>
  <c r="M144" i="15"/>
  <c r="M145" i="15"/>
  <c r="M146" i="15"/>
  <c r="M147" i="15"/>
  <c r="M148" i="15"/>
  <c r="M149" i="15"/>
  <c r="M150" i="15"/>
  <c r="M2" i="15"/>
  <c r="O3" i="15"/>
  <c r="O4" i="15"/>
  <c r="O5" i="15"/>
  <c r="O6" i="15"/>
  <c r="O7" i="15"/>
  <c r="O8" i="15"/>
  <c r="O9" i="15"/>
  <c r="O10" i="15"/>
  <c r="O11" i="15"/>
  <c r="O12" i="15"/>
  <c r="O13" i="15"/>
  <c r="O14" i="15"/>
  <c r="O15" i="15"/>
  <c r="O16" i="15"/>
  <c r="O17" i="15"/>
  <c r="O18" i="15"/>
  <c r="O19" i="15"/>
  <c r="O20" i="15"/>
  <c r="O21" i="15"/>
  <c r="O22" i="15"/>
  <c r="O23" i="15"/>
  <c r="O24" i="15"/>
  <c r="O25" i="15"/>
  <c r="O26" i="15"/>
  <c r="O27" i="15"/>
  <c r="O28" i="15"/>
  <c r="O29" i="15"/>
  <c r="O30" i="15"/>
  <c r="O31" i="15"/>
  <c r="O32" i="15"/>
  <c r="O33" i="15"/>
  <c r="O34" i="15"/>
  <c r="O35" i="15"/>
  <c r="O36" i="15"/>
  <c r="O37" i="15"/>
  <c r="O38" i="15"/>
  <c r="O39" i="15"/>
  <c r="O40" i="15"/>
  <c r="O41" i="15"/>
  <c r="O42" i="15"/>
  <c r="O43" i="15"/>
  <c r="O44" i="15"/>
  <c r="O45" i="15"/>
  <c r="O46" i="15"/>
  <c r="O47" i="15"/>
  <c r="O48" i="15"/>
  <c r="O49" i="15"/>
  <c r="O50" i="15"/>
  <c r="O51" i="15"/>
  <c r="O52" i="15"/>
  <c r="O53" i="15"/>
  <c r="O54" i="15"/>
  <c r="O55" i="15"/>
  <c r="O56" i="15"/>
  <c r="O57" i="15"/>
  <c r="O58" i="15"/>
  <c r="O59" i="15"/>
  <c r="O60" i="15"/>
  <c r="O61" i="15"/>
  <c r="O62" i="15"/>
  <c r="O63" i="15"/>
  <c r="O64" i="15"/>
  <c r="O65" i="15"/>
  <c r="O66" i="15"/>
  <c r="O67" i="15"/>
  <c r="O68" i="15"/>
  <c r="O69" i="15"/>
  <c r="O70" i="15"/>
  <c r="O71" i="15"/>
  <c r="O72" i="15"/>
  <c r="O73" i="15"/>
  <c r="O74" i="15"/>
  <c r="O75" i="15"/>
  <c r="O76" i="15"/>
  <c r="O77" i="15"/>
  <c r="O78" i="15"/>
  <c r="O79" i="15"/>
  <c r="O80" i="15"/>
  <c r="O81" i="15"/>
  <c r="O82" i="15"/>
  <c r="O83" i="15"/>
  <c r="O84" i="15"/>
  <c r="O85" i="15"/>
  <c r="O86" i="15"/>
  <c r="O87" i="15"/>
  <c r="O88" i="15"/>
  <c r="O89" i="15"/>
  <c r="O90" i="15"/>
  <c r="O91" i="15"/>
  <c r="O92" i="15"/>
  <c r="O93" i="15"/>
  <c r="O94" i="15"/>
  <c r="O95" i="15"/>
  <c r="O96" i="15"/>
  <c r="O97" i="15"/>
  <c r="O98" i="15"/>
  <c r="O99" i="15"/>
  <c r="O100" i="15"/>
  <c r="O101" i="15"/>
  <c r="O102" i="15"/>
  <c r="O103" i="15"/>
  <c r="O104" i="15"/>
  <c r="O105" i="15"/>
  <c r="O106" i="15"/>
  <c r="O107" i="15"/>
  <c r="O108" i="15"/>
  <c r="O109" i="15"/>
  <c r="O110" i="15"/>
  <c r="O111" i="15"/>
  <c r="O112" i="15"/>
  <c r="O113" i="15"/>
  <c r="O114" i="15"/>
  <c r="O115" i="15"/>
  <c r="O116" i="15"/>
  <c r="O117" i="15"/>
  <c r="O118" i="15"/>
  <c r="O119" i="15"/>
  <c r="O120" i="15"/>
  <c r="O121" i="15"/>
  <c r="O122" i="15"/>
  <c r="O123" i="15"/>
  <c r="O124" i="15"/>
  <c r="O125" i="15"/>
  <c r="O126" i="15"/>
  <c r="O127" i="15"/>
  <c r="O128" i="15"/>
  <c r="O129" i="15"/>
  <c r="O130" i="15"/>
  <c r="O131" i="15"/>
  <c r="O132" i="15"/>
  <c r="O133" i="15"/>
  <c r="O134" i="15"/>
  <c r="O135" i="15"/>
  <c r="O136" i="15"/>
  <c r="O137" i="15"/>
  <c r="O138" i="15"/>
  <c r="O139" i="15"/>
  <c r="O140" i="15"/>
  <c r="O141" i="15"/>
  <c r="O142" i="15"/>
  <c r="O143" i="15"/>
  <c r="O144" i="15"/>
  <c r="O145" i="15"/>
  <c r="O146" i="15"/>
  <c r="O147" i="15"/>
  <c r="O148" i="15"/>
  <c r="O149" i="15"/>
  <c r="O150" i="15"/>
  <c r="O2" i="15"/>
  <c r="I3" i="16"/>
  <c r="I4" i="16"/>
  <c r="I5" i="16"/>
  <c r="I6" i="16"/>
  <c r="I7" i="16"/>
  <c r="I8" i="16"/>
  <c r="I9" i="16"/>
  <c r="I10" i="16"/>
  <c r="I11" i="16"/>
  <c r="I12" i="16"/>
  <c r="I13" i="16"/>
  <c r="I14" i="16"/>
  <c r="I15" i="16"/>
  <c r="I16" i="16"/>
  <c r="I17" i="16"/>
  <c r="I18" i="16"/>
  <c r="I19" i="16"/>
  <c r="I20" i="16"/>
  <c r="I21" i="16"/>
  <c r="I22" i="16"/>
  <c r="I23" i="16"/>
  <c r="I24" i="16"/>
  <c r="I25" i="16"/>
  <c r="I26" i="16"/>
  <c r="I27" i="16"/>
  <c r="I28" i="16"/>
  <c r="I29" i="16"/>
  <c r="I30" i="16"/>
  <c r="I31" i="16"/>
  <c r="I32" i="16"/>
  <c r="I33" i="16"/>
  <c r="I34" i="16"/>
  <c r="I35" i="16"/>
  <c r="I36" i="16"/>
  <c r="I37" i="16"/>
  <c r="I38" i="16"/>
  <c r="I39" i="16"/>
  <c r="I40" i="16"/>
  <c r="I41" i="16"/>
  <c r="I42" i="16"/>
  <c r="I43" i="16"/>
  <c r="I44" i="16"/>
  <c r="I45" i="16"/>
  <c r="I46" i="16"/>
  <c r="I47" i="16"/>
  <c r="I48" i="16"/>
  <c r="I49" i="16"/>
  <c r="I50" i="16"/>
  <c r="I51" i="16"/>
  <c r="I52" i="16"/>
  <c r="I53" i="16"/>
  <c r="I54" i="16"/>
  <c r="I55" i="16"/>
  <c r="I56" i="16"/>
  <c r="I57" i="16"/>
  <c r="I58" i="16"/>
  <c r="I59" i="16"/>
  <c r="I60" i="16"/>
  <c r="I61" i="16"/>
  <c r="I62" i="16"/>
  <c r="I63" i="16"/>
  <c r="I64" i="16"/>
  <c r="I65" i="16"/>
  <c r="I66" i="16"/>
  <c r="I67" i="16"/>
  <c r="I68" i="16"/>
  <c r="I69" i="16"/>
  <c r="I70" i="16"/>
  <c r="I71" i="16"/>
  <c r="I72" i="16"/>
  <c r="I73" i="16"/>
  <c r="I74" i="16"/>
  <c r="I75" i="16"/>
  <c r="I76" i="16"/>
  <c r="I77" i="16"/>
  <c r="I78" i="16"/>
  <c r="I79" i="16"/>
  <c r="I80" i="16"/>
  <c r="I81" i="16"/>
  <c r="I82" i="16"/>
  <c r="I83" i="16"/>
  <c r="I84" i="16"/>
  <c r="I85" i="16"/>
  <c r="I86" i="16"/>
  <c r="I87" i="16"/>
  <c r="I88" i="16"/>
  <c r="I89" i="16"/>
  <c r="I90" i="16"/>
  <c r="I91" i="16"/>
  <c r="I92" i="16"/>
  <c r="I93" i="16"/>
  <c r="I94" i="16"/>
  <c r="I95" i="16"/>
  <c r="I96" i="16"/>
  <c r="I97" i="16"/>
  <c r="I98" i="16"/>
  <c r="I99" i="16"/>
  <c r="I100" i="16"/>
  <c r="I101" i="16"/>
  <c r="I102" i="16"/>
  <c r="I103" i="16"/>
  <c r="I104" i="16"/>
  <c r="I105" i="16"/>
  <c r="I106" i="16"/>
  <c r="I107" i="16"/>
  <c r="I108" i="16"/>
  <c r="I109" i="16"/>
  <c r="I110" i="16"/>
  <c r="I111" i="16"/>
  <c r="I112" i="16"/>
  <c r="I113" i="16"/>
  <c r="I114" i="16"/>
  <c r="I115" i="16"/>
  <c r="I116" i="16"/>
  <c r="I117" i="16"/>
  <c r="I118" i="16"/>
  <c r="I119" i="16"/>
  <c r="I120" i="16"/>
  <c r="I121" i="16"/>
  <c r="I122" i="16"/>
  <c r="I123" i="16"/>
  <c r="I124" i="16"/>
  <c r="I125" i="16"/>
  <c r="I126" i="16"/>
  <c r="I127" i="16"/>
  <c r="I128" i="16"/>
  <c r="I129" i="16"/>
  <c r="I130" i="16"/>
  <c r="I131" i="16"/>
  <c r="I132" i="16"/>
  <c r="I133" i="16"/>
  <c r="I134" i="16"/>
  <c r="I135" i="16"/>
  <c r="I136" i="16"/>
  <c r="I137" i="16"/>
  <c r="I138" i="16"/>
  <c r="I139" i="16"/>
  <c r="I140" i="16"/>
  <c r="I141" i="16"/>
  <c r="I142" i="16"/>
  <c r="I143" i="16"/>
  <c r="I144" i="16"/>
  <c r="I145" i="16"/>
  <c r="I146" i="16"/>
  <c r="I147" i="16"/>
  <c r="I148" i="16"/>
  <c r="I149" i="16"/>
  <c r="I150" i="16"/>
  <c r="I2" i="16"/>
  <c r="H3" i="16"/>
  <c r="H4" i="16"/>
  <c r="H5" i="16"/>
  <c r="H6" i="16"/>
  <c r="H7" i="16"/>
  <c r="H8" i="16"/>
  <c r="H9" i="16"/>
  <c r="H10" i="16"/>
  <c r="H11" i="16"/>
  <c r="H12" i="16"/>
  <c r="H13" i="16"/>
  <c r="H14" i="16"/>
  <c r="H15" i="16"/>
  <c r="H16" i="16"/>
  <c r="H17" i="16"/>
  <c r="H18" i="16"/>
  <c r="H19" i="16"/>
  <c r="H20" i="16"/>
  <c r="H21" i="16"/>
  <c r="H22" i="16"/>
  <c r="H23" i="16"/>
  <c r="H24" i="16"/>
  <c r="H25" i="16"/>
  <c r="H26" i="16"/>
  <c r="H27" i="16"/>
  <c r="H28" i="16"/>
  <c r="H29" i="16"/>
  <c r="H30" i="16"/>
  <c r="H31" i="16"/>
  <c r="H32" i="16"/>
  <c r="H33" i="16"/>
  <c r="H34" i="16"/>
  <c r="H35" i="16"/>
  <c r="H36" i="16"/>
  <c r="H37" i="16"/>
  <c r="H38" i="16"/>
  <c r="H39" i="16"/>
  <c r="H40" i="16"/>
  <c r="H41" i="16"/>
  <c r="H42" i="16"/>
  <c r="H43" i="16"/>
  <c r="H44" i="16"/>
  <c r="H45" i="16"/>
  <c r="H46" i="16"/>
  <c r="H47" i="16"/>
  <c r="H48" i="16"/>
  <c r="H49" i="16"/>
  <c r="H50" i="16"/>
  <c r="H51" i="16"/>
  <c r="H52" i="16"/>
  <c r="H53" i="16"/>
  <c r="H54" i="16"/>
  <c r="H55" i="16"/>
  <c r="H56" i="16"/>
  <c r="H57" i="16"/>
  <c r="H58" i="16"/>
  <c r="H59" i="16"/>
  <c r="H60" i="16"/>
  <c r="H61" i="16"/>
  <c r="H62" i="16"/>
  <c r="H63" i="16"/>
  <c r="H64" i="16"/>
  <c r="H65" i="16"/>
  <c r="H66" i="16"/>
  <c r="H67" i="16"/>
  <c r="H68" i="16"/>
  <c r="H69" i="16"/>
  <c r="H70" i="16"/>
  <c r="H71" i="16"/>
  <c r="H72" i="16"/>
  <c r="H73" i="16"/>
  <c r="H74" i="16"/>
  <c r="H75" i="16"/>
  <c r="H76" i="16"/>
  <c r="H77" i="16"/>
  <c r="H78" i="16"/>
  <c r="H79" i="16"/>
  <c r="H80" i="16"/>
  <c r="H81" i="16"/>
  <c r="H82" i="16"/>
  <c r="H83" i="16"/>
  <c r="H84" i="16"/>
  <c r="H85" i="16"/>
  <c r="H86" i="16"/>
  <c r="H87" i="16"/>
  <c r="H88" i="16"/>
  <c r="H89" i="16"/>
  <c r="H90" i="16"/>
  <c r="H91" i="16"/>
  <c r="H92" i="16"/>
  <c r="H93" i="16"/>
  <c r="H94" i="16"/>
  <c r="H95" i="16"/>
  <c r="H96" i="16"/>
  <c r="H97" i="16"/>
  <c r="H98" i="16"/>
  <c r="H99" i="16"/>
  <c r="H100" i="16"/>
  <c r="H101" i="16"/>
  <c r="H102" i="16"/>
  <c r="H103" i="16"/>
  <c r="H104" i="16"/>
  <c r="H105" i="16"/>
  <c r="H106" i="16"/>
  <c r="H107" i="16"/>
  <c r="H108" i="16"/>
  <c r="H109" i="16"/>
  <c r="H110" i="16"/>
  <c r="H111" i="16"/>
  <c r="H112" i="16"/>
  <c r="H113" i="16"/>
  <c r="H114" i="16"/>
  <c r="H115" i="16"/>
  <c r="H116" i="16"/>
  <c r="H117" i="16"/>
  <c r="H118" i="16"/>
  <c r="H119" i="16"/>
  <c r="H120" i="16"/>
  <c r="H121" i="16"/>
  <c r="H122" i="16"/>
  <c r="H123" i="16"/>
  <c r="H124" i="16"/>
  <c r="H125" i="16"/>
  <c r="H126" i="16"/>
  <c r="H127" i="16"/>
  <c r="H128" i="16"/>
  <c r="H129" i="16"/>
  <c r="H130" i="16"/>
  <c r="H131" i="16"/>
  <c r="H132" i="16"/>
  <c r="H133" i="16"/>
  <c r="H134" i="16"/>
  <c r="H135" i="16"/>
  <c r="H136" i="16"/>
  <c r="H137" i="16"/>
  <c r="H138" i="16"/>
  <c r="H139" i="16"/>
  <c r="H140" i="16"/>
  <c r="H141" i="16"/>
  <c r="H142" i="16"/>
  <c r="H143" i="16"/>
  <c r="H144" i="16"/>
  <c r="H145" i="16"/>
  <c r="H146" i="16"/>
  <c r="H147" i="16"/>
  <c r="H148" i="16"/>
  <c r="H149" i="16"/>
  <c r="H150" i="16"/>
  <c r="H2" i="16"/>
  <c r="N3" i="15"/>
  <c r="N4" i="15"/>
  <c r="N5" i="15"/>
  <c r="N6" i="15"/>
  <c r="N7" i="15"/>
  <c r="N8" i="15"/>
  <c r="N9" i="15"/>
  <c r="N10" i="15"/>
  <c r="N11" i="15"/>
  <c r="N12" i="15"/>
  <c r="N13" i="15"/>
  <c r="N14" i="15"/>
  <c r="N15" i="15"/>
  <c r="N16" i="15"/>
  <c r="N17" i="15"/>
  <c r="N18" i="15"/>
  <c r="N19" i="15"/>
  <c r="N20" i="15"/>
  <c r="N21" i="15"/>
  <c r="N22" i="15"/>
  <c r="N23" i="15"/>
  <c r="N24" i="15"/>
  <c r="N25" i="15"/>
  <c r="N26" i="15"/>
  <c r="N27" i="15"/>
  <c r="N28" i="15"/>
  <c r="N29" i="15"/>
  <c r="N30" i="15"/>
  <c r="N31" i="15"/>
  <c r="N32" i="15"/>
  <c r="N33" i="15"/>
  <c r="N34" i="15"/>
  <c r="N35" i="15"/>
  <c r="N36" i="15"/>
  <c r="N37" i="15"/>
  <c r="N38" i="15"/>
  <c r="N39" i="15"/>
  <c r="N40" i="15"/>
  <c r="N41" i="15"/>
  <c r="N42" i="15"/>
  <c r="N43" i="15"/>
  <c r="N44" i="15"/>
  <c r="N45" i="15"/>
  <c r="N46" i="15"/>
  <c r="N47" i="15"/>
  <c r="N48" i="15"/>
  <c r="N49" i="15"/>
  <c r="N50" i="15"/>
  <c r="N51" i="15"/>
  <c r="N52" i="15"/>
  <c r="N53" i="15"/>
  <c r="N54" i="15"/>
  <c r="N55" i="15"/>
  <c r="N56" i="15"/>
  <c r="N57" i="15"/>
  <c r="N58" i="15"/>
  <c r="N59" i="15"/>
  <c r="N60" i="15"/>
  <c r="N61" i="15"/>
  <c r="N62" i="15"/>
  <c r="N63" i="15"/>
  <c r="N64" i="15"/>
  <c r="N65" i="15"/>
  <c r="N66" i="15"/>
  <c r="N67" i="15"/>
  <c r="N68" i="15"/>
  <c r="N69" i="15"/>
  <c r="N70" i="15"/>
  <c r="N71" i="15"/>
  <c r="N72" i="15"/>
  <c r="N73" i="15"/>
  <c r="N74" i="15"/>
  <c r="N75" i="15"/>
  <c r="N76" i="15"/>
  <c r="N77" i="15"/>
  <c r="N78" i="15"/>
  <c r="N79" i="15"/>
  <c r="N80" i="15"/>
  <c r="N81" i="15"/>
  <c r="N82" i="15"/>
  <c r="N83" i="15"/>
  <c r="N84" i="15"/>
  <c r="N85" i="15"/>
  <c r="N86" i="15"/>
  <c r="N87" i="15"/>
  <c r="N88" i="15"/>
  <c r="N89" i="15"/>
  <c r="N90" i="15"/>
  <c r="N91" i="15"/>
  <c r="N92" i="15"/>
  <c r="N93" i="15"/>
  <c r="N94" i="15"/>
  <c r="N95" i="15"/>
  <c r="N96" i="15"/>
  <c r="N97" i="15"/>
  <c r="N98" i="15"/>
  <c r="N99" i="15"/>
  <c r="N100" i="15"/>
  <c r="N101" i="15"/>
  <c r="N102" i="15"/>
  <c r="N103" i="15"/>
  <c r="N104" i="15"/>
  <c r="N105" i="15"/>
  <c r="N106" i="15"/>
  <c r="N107" i="15"/>
  <c r="N108" i="15"/>
  <c r="N109" i="15"/>
  <c r="N110" i="15"/>
  <c r="N111" i="15"/>
  <c r="N112" i="15"/>
  <c r="N113" i="15"/>
  <c r="N114" i="15"/>
  <c r="N115" i="15"/>
  <c r="N116" i="15"/>
  <c r="N117" i="15"/>
  <c r="N118" i="15"/>
  <c r="N119" i="15"/>
  <c r="N120" i="15"/>
  <c r="N121" i="15"/>
  <c r="N122" i="15"/>
  <c r="N123" i="15"/>
  <c r="N124" i="15"/>
  <c r="N125" i="15"/>
  <c r="N126" i="15"/>
  <c r="N127" i="15"/>
  <c r="N128" i="15"/>
  <c r="N129" i="15"/>
  <c r="N130" i="15"/>
  <c r="N131" i="15"/>
  <c r="N132" i="15"/>
  <c r="N133" i="15"/>
  <c r="N134" i="15"/>
  <c r="N135" i="15"/>
  <c r="N136" i="15"/>
  <c r="N137" i="15"/>
  <c r="N138" i="15"/>
  <c r="N139" i="15"/>
  <c r="N140" i="15"/>
  <c r="N141" i="15"/>
  <c r="N142" i="15"/>
  <c r="N143" i="15"/>
  <c r="N144" i="15"/>
  <c r="N145" i="15"/>
  <c r="N146" i="15"/>
  <c r="N147" i="15"/>
  <c r="N148" i="15"/>
  <c r="N149" i="15"/>
  <c r="N150" i="15"/>
  <c r="N2" i="15"/>
  <c r="L15" i="8" a="1"/>
  <c r="L15" i="8" s="1"/>
  <c r="L16" i="8" a="1"/>
  <c r="L16" i="8" s="1"/>
  <c r="L17" i="8" a="1"/>
  <c r="L17" i="8" s="1"/>
  <c r="L19" i="8" a="1"/>
  <c r="L19" i="8" s="1"/>
  <c r="L20" i="8" a="1"/>
  <c r="L20" i="8" s="1"/>
  <c r="L21" i="8" a="1"/>
  <c r="L21" i="8" s="1"/>
  <c r="L22" i="8" a="1"/>
  <c r="L22" i="8" s="1"/>
  <c r="L23" i="8" a="1"/>
  <c r="L23" i="8" s="1"/>
  <c r="L24" i="8" a="1"/>
  <c r="L24" i="8" s="1"/>
  <c r="L25" i="8" a="1"/>
  <c r="L25" i="8" s="1"/>
  <c r="L26" i="8" a="1"/>
  <c r="L26" i="8" s="1"/>
  <c r="L27" i="8" a="1"/>
  <c r="L27" i="8" s="1"/>
  <c r="L32" i="8" a="1"/>
  <c r="L32" i="8" s="1"/>
  <c r="L33" i="8" a="1"/>
  <c r="L33" i="8" s="1"/>
  <c r="L35" i="8" a="1"/>
  <c r="L35" i="8" s="1"/>
  <c r="L36" i="8" a="1"/>
  <c r="L36" i="8" s="1"/>
  <c r="L37" i="8" a="1"/>
  <c r="L37" i="8" s="1"/>
  <c r="L38" i="8" a="1"/>
  <c r="L38" i="8" s="1"/>
  <c r="L39" i="8" a="1"/>
  <c r="L39" i="8" s="1"/>
  <c r="L41" i="8" a="1"/>
  <c r="L41" i="8" s="1"/>
  <c r="L42" i="8" a="1"/>
  <c r="L42" i="8" s="1"/>
  <c r="L43" i="8" a="1"/>
  <c r="L43" i="8" s="1"/>
  <c r="L45" i="8" a="1"/>
  <c r="L45" i="8" s="1"/>
  <c r="L46" i="8" a="1"/>
  <c r="L46" i="8" s="1"/>
  <c r="L47" i="8" a="1"/>
  <c r="L47" i="8" s="1"/>
  <c r="L48" i="8" a="1"/>
  <c r="L48" i="8" s="1"/>
  <c r="L50" i="8" a="1"/>
  <c r="L50" i="8" s="1"/>
  <c r="L51" i="8" a="1"/>
  <c r="L51" i="8" s="1"/>
  <c r="L52" i="8" a="1"/>
  <c r="L52" i="8" s="1"/>
  <c r="L53" i="8" a="1"/>
  <c r="L53" i="8" s="1"/>
  <c r="L54" i="8" a="1"/>
  <c r="L54" i="8" s="1"/>
  <c r="L55" i="8" a="1"/>
  <c r="L55" i="8" s="1"/>
  <c r="L56" i="8" a="1"/>
  <c r="L56" i="8" s="1"/>
  <c r="L57" i="8" a="1"/>
  <c r="L57" i="8" s="1"/>
  <c r="L58" i="8" a="1"/>
  <c r="L58" i="8" s="1"/>
  <c r="L59" i="8" a="1"/>
  <c r="L59" i="8" s="1"/>
  <c r="L60" i="8" a="1"/>
  <c r="L60" i="8" s="1"/>
  <c r="L61" i="8" a="1"/>
  <c r="L61" i="8" s="1"/>
  <c r="L62" i="8" a="1"/>
  <c r="L62" i="8" s="1"/>
  <c r="L63" i="8" a="1"/>
  <c r="L63" i="8" s="1"/>
  <c r="L64" i="8" a="1"/>
  <c r="L64" i="8" s="1"/>
  <c r="L65" i="8" a="1"/>
  <c r="L65" i="8" s="1"/>
  <c r="L300" i="8" l="1" a="1"/>
  <c r="L300" i="8" s="1"/>
  <c r="L299" i="8" a="1"/>
  <c r="L299" i="8" s="1"/>
  <c r="L298" i="8" a="1"/>
  <c r="L298" i="8" s="1"/>
  <c r="L301" i="8" a="1"/>
  <c r="L301" i="8" s="1"/>
  <c r="L296" i="8" a="1"/>
  <c r="L296" i="8" s="1"/>
  <c r="L295" i="8" a="1"/>
  <c r="L295" i="8" s="1"/>
  <c r="L297" i="8" a="1"/>
  <c r="L297" i="8" s="1"/>
  <c r="L294" i="8" a="1"/>
  <c r="L294" i="8" s="1"/>
  <c r="L293" i="8" a="1"/>
  <c r="L293" i="8" s="1"/>
  <c r="L292" i="8" a="1"/>
  <c r="L292" i="8" s="1"/>
  <c r="L291" i="8" a="1"/>
  <c r="L291" i="8" s="1"/>
  <c r="L290" i="8" a="1"/>
  <c r="L290" i="8" s="1"/>
  <c r="L289" i="8" a="1"/>
  <c r="L289" i="8" s="1"/>
  <c r="L288" i="8" a="1"/>
  <c r="L288" i="8" s="1"/>
  <c r="L286" i="8" a="1"/>
  <c r="L286" i="8" s="1"/>
  <c r="L285" i="8" a="1"/>
  <c r="L285" i="8" s="1"/>
  <c r="L284" i="8" a="1"/>
  <c r="L284" i="8" s="1"/>
  <c r="L283" i="8" a="1"/>
  <c r="L283" i="8" s="1"/>
  <c r="L282" i="8" a="1"/>
  <c r="L282" i="8" s="1"/>
  <c r="L281" i="8" a="1"/>
  <c r="L281" i="8" s="1"/>
  <c r="L280" i="8" a="1"/>
  <c r="L280" i="8" s="1"/>
  <c r="L287" i="8" a="1"/>
  <c r="L287" i="8" s="1"/>
  <c r="L279" i="8" a="1"/>
  <c r="L279" i="8" s="1"/>
  <c r="L278" i="8" a="1"/>
  <c r="L278" i="8" s="1"/>
  <c r="L277" i="8" a="1"/>
  <c r="L277" i="8" s="1"/>
  <c r="L276" i="8" a="1"/>
  <c r="L276" i="8" s="1"/>
  <c r="L274" i="8" a="1"/>
  <c r="L274" i="8" s="1"/>
  <c r="L273" i="8" a="1"/>
  <c r="L273" i="8" s="1"/>
  <c r="L275" i="8" a="1"/>
  <c r="L275" i="8" s="1"/>
  <c r="L272" i="8" a="1"/>
  <c r="L272" i="8" s="1"/>
  <c r="L271" i="8" a="1"/>
  <c r="L271" i="8" s="1"/>
  <c r="L270" i="8" a="1"/>
  <c r="L270" i="8" s="1"/>
  <c r="L269" i="8" a="1"/>
  <c r="L269" i="8" s="1"/>
  <c r="L268" i="8" a="1"/>
  <c r="L268" i="8" s="1"/>
  <c r="L266" i="8" a="1"/>
  <c r="L266" i="8" s="1"/>
  <c r="L265" i="8" a="1"/>
  <c r="L265" i="8" s="1"/>
  <c r="L267" i="8" a="1"/>
  <c r="L267" i="8" s="1"/>
  <c r="L263" i="8" a="1"/>
  <c r="L263" i="8" s="1"/>
  <c r="L262" i="8" a="1"/>
  <c r="L262" i="8" s="1"/>
  <c r="L261" i="8" a="1"/>
  <c r="L261" i="8" s="1"/>
  <c r="L260" i="8" a="1"/>
  <c r="L260" i="8" s="1"/>
  <c r="L259" i="8" a="1"/>
  <c r="L259" i="8" s="1"/>
  <c r="L258" i="8" a="1"/>
  <c r="L258" i="8" s="1"/>
  <c r="L257" i="8" a="1"/>
  <c r="L257" i="8" s="1"/>
  <c r="L256" i="8" a="1"/>
  <c r="L256" i="8" s="1"/>
  <c r="L255" i="8" a="1"/>
  <c r="L255" i="8" s="1"/>
  <c r="L254" i="8" a="1"/>
  <c r="L254" i="8" s="1"/>
  <c r="L253" i="8" a="1"/>
  <c r="L253" i="8" s="1"/>
  <c r="L252" i="8" a="1"/>
  <c r="L252" i="8" s="1"/>
  <c r="L251" i="8" a="1"/>
  <c r="L251" i="8" s="1"/>
  <c r="L250" i="8" a="1"/>
  <c r="L250" i="8" s="1"/>
  <c r="L249" i="8" a="1"/>
  <c r="L249" i="8" s="1"/>
  <c r="L248" i="8" a="1"/>
  <c r="L248" i="8" s="1"/>
  <c r="L247" i="8" a="1"/>
  <c r="L247" i="8" s="1"/>
  <c r="L246" i="8" a="1"/>
  <c r="L246" i="8" s="1"/>
  <c r="L245" i="8" a="1"/>
  <c r="L245" i="8" s="1"/>
  <c r="L242" i="8" a="1"/>
  <c r="L242" i="8" s="1"/>
  <c r="L241" i="8" a="1"/>
  <c r="L241" i="8" s="1"/>
  <c r="L244" i="8" a="1"/>
  <c r="L244" i="8" s="1"/>
  <c r="L243" i="8" a="1"/>
  <c r="L243" i="8" s="1"/>
  <c r="L240" i="8" a="1"/>
  <c r="L240" i="8" s="1"/>
  <c r="L239" i="8" a="1"/>
  <c r="L239" i="8" s="1"/>
  <c r="L238" i="8" a="1"/>
  <c r="L238" i="8" s="1"/>
  <c r="L237" i="8" a="1"/>
  <c r="L237" i="8" s="1"/>
  <c r="L234" i="8" a="1"/>
  <c r="L234" i="8" s="1"/>
  <c r="L233" i="8" a="1"/>
  <c r="L233" i="8" s="1"/>
  <c r="L235" i="8" a="1"/>
  <c r="L235" i="8" s="1"/>
  <c r="L232" i="8" a="1"/>
  <c r="L232" i="8" s="1"/>
  <c r="L231" i="8" a="1"/>
  <c r="L231" i="8" s="1"/>
  <c r="L230" i="8" a="1"/>
  <c r="L230" i="8" s="1"/>
  <c r="L229" i="8" a="1"/>
  <c r="L229" i="8" s="1"/>
  <c r="L228" i="8" a="1"/>
  <c r="L228" i="8" s="1"/>
  <c r="L227" i="8" a="1"/>
  <c r="L227" i="8" s="1"/>
  <c r="L225" i="8" a="1"/>
  <c r="L225" i="8" s="1"/>
  <c r="L224" i="8" a="1"/>
  <c r="L224" i="8" s="1"/>
  <c r="L223" i="8" a="1"/>
  <c r="L223" i="8" s="1"/>
  <c r="L226" i="8" a="1"/>
  <c r="L226" i="8" s="1"/>
  <c r="L222" i="8" a="1"/>
  <c r="L222" i="8" s="1"/>
  <c r="L221" i="8" a="1"/>
  <c r="L221" i="8" s="1"/>
  <c r="L220" i="8" a="1"/>
  <c r="L220" i="8" s="1"/>
  <c r="L217" i="8" a="1"/>
  <c r="L217" i="8" s="1"/>
  <c r="L219" i="8" a="1"/>
  <c r="L219" i="8" s="1"/>
  <c r="L218" i="8" a="1"/>
  <c r="L218" i="8" s="1"/>
  <c r="L216" i="8" a="1"/>
  <c r="L216" i="8" s="1"/>
  <c r="L215" i="8" a="1"/>
  <c r="L215" i="8" s="1"/>
  <c r="L214" i="8" a="1"/>
  <c r="L214" i="8" s="1"/>
  <c r="L213" i="8" a="1"/>
  <c r="L213" i="8" s="1"/>
  <c r="L212" i="8" a="1"/>
  <c r="L212" i="8" s="1"/>
  <c r="L210" i="8" a="1"/>
  <c r="L210" i="8" s="1"/>
  <c r="L211" i="8" a="1"/>
  <c r="L211" i="8" s="1"/>
  <c r="L209" i="8" a="1"/>
  <c r="L209" i="8" s="1"/>
  <c r="L207" i="8" a="1"/>
  <c r="L207" i="8" s="1"/>
  <c r="L206" i="8" a="1"/>
  <c r="L206" i="8" s="1"/>
  <c r="L205" i="8" a="1"/>
  <c r="L205" i="8" s="1"/>
  <c r="L208" i="8" a="1"/>
  <c r="L208" i="8" s="1"/>
  <c r="L204" i="8" a="1"/>
  <c r="L204" i="8" s="1"/>
  <c r="L202" i="8" a="1"/>
  <c r="L202" i="8" s="1"/>
  <c r="L201" i="8" a="1"/>
  <c r="L201" i="8" s="1"/>
  <c r="L200" i="8" a="1"/>
  <c r="L200" i="8" s="1"/>
  <c r="L199" i="8" a="1"/>
  <c r="L199" i="8" s="1"/>
  <c r="L198" i="8" a="1"/>
  <c r="L198" i="8" s="1"/>
  <c r="L203" i="8" a="1"/>
  <c r="L203" i="8" s="1"/>
  <c r="L197" i="8" a="1"/>
  <c r="L197" i="8" s="1"/>
  <c r="L196" i="8" a="1"/>
  <c r="L196" i="8" s="1"/>
  <c r="L195" i="8" a="1"/>
  <c r="L195" i="8" s="1"/>
  <c r="L194" i="8" a="1"/>
  <c r="L194" i="8" s="1"/>
  <c r="L193" i="8" a="1"/>
  <c r="L193" i="8" s="1"/>
  <c r="L191" i="8" a="1"/>
  <c r="L191" i="8" s="1"/>
  <c r="L190" i="8" a="1"/>
  <c r="L190" i="8" s="1"/>
  <c r="L189" i="8" a="1"/>
  <c r="L189" i="8" s="1"/>
  <c r="L192" i="8" a="1"/>
  <c r="L192" i="8" s="1"/>
  <c r="L188" i="8" a="1"/>
  <c r="L188" i="8" s="1"/>
  <c r="L187" i="8" a="1"/>
  <c r="L187" i="8" s="1"/>
  <c r="L185" i="8" a="1"/>
  <c r="L185" i="8" s="1"/>
  <c r="L184" i="8" a="1"/>
  <c r="L184" i="8" s="1"/>
  <c r="L183" i="8" a="1"/>
  <c r="L183" i="8" s="1"/>
  <c r="L186" i="8" a="1"/>
  <c r="L186" i="8" s="1"/>
  <c r="L182" i="8" a="1"/>
  <c r="L182" i="8" s="1"/>
  <c r="L181" i="8" a="1"/>
  <c r="L181" i="8" s="1"/>
  <c r="L180" i="8" a="1"/>
  <c r="L180" i="8" s="1"/>
  <c r="L177" i="8" a="1"/>
  <c r="L177" i="8" s="1"/>
  <c r="L176" i="8" a="1"/>
  <c r="L176" i="8" s="1"/>
  <c r="L175" i="8" a="1"/>
  <c r="L175" i="8" s="1"/>
  <c r="L179" i="8" a="1"/>
  <c r="L179" i="8" s="1"/>
  <c r="L174" i="8" a="1"/>
  <c r="L174" i="8" s="1"/>
  <c r="L178" i="8" a="1"/>
  <c r="L178" i="8" s="1"/>
  <c r="L173" i="8" a="1"/>
  <c r="L173" i="8" s="1"/>
  <c r="L172" i="8" a="1"/>
  <c r="L172" i="8" s="1"/>
  <c r="L171" i="8" a="1"/>
  <c r="L171" i="8" s="1"/>
  <c r="L170" i="8" a="1"/>
  <c r="L170" i="8" s="1"/>
  <c r="L169" i="8" a="1"/>
  <c r="L169" i="8" s="1"/>
  <c r="L168" i="8" a="1"/>
  <c r="L168" i="8" s="1"/>
  <c r="L167" i="8" a="1"/>
  <c r="L167" i="8" s="1"/>
  <c r="L166" i="8" a="1"/>
  <c r="L166" i="8" s="1"/>
  <c r="L165" i="8" a="1"/>
  <c r="L165" i="8" s="1"/>
  <c r="L164" i="8" a="1"/>
  <c r="L164" i="8" s="1"/>
  <c r="L163" i="8" a="1"/>
  <c r="L163" i="8" s="1"/>
  <c r="L162" i="8" a="1"/>
  <c r="L162" i="8" s="1"/>
  <c r="L161" i="8" a="1"/>
  <c r="L161" i="8" s="1"/>
  <c r="L160" i="8" a="1"/>
  <c r="L160" i="8" s="1"/>
  <c r="L159" i="8" a="1"/>
  <c r="L159" i="8" s="1"/>
  <c r="L157" i="8" a="1"/>
  <c r="L157" i="8" s="1"/>
  <c r="L156" i="8" a="1"/>
  <c r="L156" i="8" s="1"/>
  <c r="L155" i="8" a="1"/>
  <c r="L155" i="8" s="1"/>
  <c r="L154" i="8" a="1"/>
  <c r="L154" i="8" s="1"/>
  <c r="L153" i="8" a="1"/>
  <c r="L153" i="8" s="1"/>
  <c r="L152" i="8" a="1"/>
  <c r="L152" i="8" s="1"/>
  <c r="L151" i="8" a="1"/>
  <c r="L151" i="8" s="1"/>
  <c r="L150" i="8" a="1"/>
  <c r="L150" i="8" s="1"/>
  <c r="L149" i="8" a="1"/>
  <c r="L149" i="8" s="1"/>
  <c r="L148" i="8" a="1"/>
  <c r="L148" i="8" s="1"/>
  <c r="L147" i="8" a="1"/>
  <c r="L147" i="8" s="1"/>
  <c r="L146" i="8" a="1"/>
  <c r="L146" i="8" s="1"/>
  <c r="L145" i="8" a="1"/>
  <c r="L145" i="8" s="1"/>
  <c r="L144" i="8" a="1"/>
  <c r="L144" i="8" s="1"/>
  <c r="L143" i="8" a="1"/>
  <c r="L143" i="8" s="1"/>
  <c r="L141" i="8" a="1"/>
  <c r="L141" i="8" s="1"/>
  <c r="L140" i="8" a="1"/>
  <c r="L140" i="8" s="1"/>
  <c r="L142" i="8" a="1"/>
  <c r="L142" i="8" s="1"/>
  <c r="L139" i="8" a="1"/>
  <c r="L139" i="8" s="1"/>
  <c r="L138" i="8" a="1"/>
  <c r="L138" i="8" s="1"/>
  <c r="L137" i="8" a="1"/>
  <c r="L137" i="8" s="1"/>
  <c r="L136" i="8" a="1"/>
  <c r="L136" i="8" s="1"/>
  <c r="L134" i="8" a="1"/>
  <c r="L134" i="8" s="1"/>
  <c r="L132" i="8" a="1"/>
  <c r="L132" i="8" s="1"/>
  <c r="L131" i="8" a="1"/>
  <c r="L131" i="8" s="1"/>
  <c r="L129" i="8" a="1"/>
  <c r="L129" i="8" s="1"/>
  <c r="L128" i="8" a="1"/>
  <c r="L128" i="8" s="1"/>
  <c r="L127" i="8" a="1"/>
  <c r="L127" i="8" s="1"/>
  <c r="L126" i="8" a="1"/>
  <c r="L126" i="8" s="1"/>
  <c r="L125" i="8" a="1"/>
  <c r="L125" i="8" s="1"/>
  <c r="L124" i="8" a="1"/>
  <c r="L124" i="8" s="1"/>
  <c r="L123" i="8" a="1"/>
  <c r="L123" i="8" s="1"/>
  <c r="L122" i="8" a="1"/>
  <c r="L122" i="8" s="1"/>
  <c r="L121" i="8" a="1"/>
  <c r="L121" i="8" s="1"/>
  <c r="L120" i="8" a="1"/>
  <c r="L120" i="8" s="1"/>
  <c r="L119" i="8" a="1"/>
  <c r="L119" i="8" s="1"/>
  <c r="L118" i="8" a="1"/>
  <c r="L118" i="8" s="1"/>
  <c r="L117" i="8" a="1"/>
  <c r="L117" i="8" s="1"/>
  <c r="L116" i="8" a="1"/>
  <c r="L116" i="8" s="1"/>
  <c r="L115" i="8" a="1"/>
  <c r="L115" i="8" s="1"/>
  <c r="L114" i="8" a="1"/>
  <c r="L114" i="8" s="1"/>
  <c r="L113" i="8" a="1"/>
  <c r="L113" i="8" s="1"/>
  <c r="L112" i="8" a="1"/>
  <c r="L112" i="8" s="1"/>
  <c r="L111" i="8" a="1"/>
  <c r="L111" i="8" s="1"/>
  <c r="L110" i="8" a="1"/>
  <c r="L110" i="8" s="1"/>
  <c r="L107" i="8" a="1"/>
  <c r="L107" i="8" s="1"/>
  <c r="L109" i="8" a="1"/>
  <c r="L109" i="8" s="1"/>
  <c r="L106" i="8" a="1"/>
  <c r="L106" i="8" s="1"/>
  <c r="L105" i="8" a="1"/>
  <c r="L105" i="8" s="1"/>
  <c r="L104" i="8" a="1"/>
  <c r="L104" i="8" s="1"/>
  <c r="L102" i="8" a="1"/>
  <c r="L102" i="8" s="1"/>
  <c r="L101" i="8" a="1"/>
  <c r="L101" i="8" s="1"/>
  <c r="L100" i="8" a="1"/>
  <c r="L100" i="8" s="1"/>
  <c r="L98" i="8" a="1"/>
  <c r="L98" i="8" s="1"/>
  <c r="L99" i="8" a="1"/>
  <c r="L99" i="8" s="1"/>
  <c r="L97" i="8" a="1"/>
  <c r="L97" i="8" s="1"/>
  <c r="L94" i="8" a="1"/>
  <c r="L94" i="8" s="1"/>
  <c r="L93" i="8" a="1"/>
  <c r="L93" i="8" s="1"/>
  <c r="L96" i="8" a="1"/>
  <c r="L96" i="8" s="1"/>
  <c r="L92" i="8" a="1"/>
  <c r="L92" i="8" s="1"/>
  <c r="L91" i="8" a="1"/>
  <c r="L91" i="8" s="1"/>
  <c r="L90" i="8" a="1"/>
  <c r="L90" i="8" s="1"/>
  <c r="L89" i="8" a="1"/>
  <c r="L89" i="8" s="1"/>
  <c r="L88" i="8" a="1"/>
  <c r="L88" i="8" s="1"/>
  <c r="L87" i="8" a="1"/>
  <c r="L87" i="8" s="1"/>
  <c r="L85" i="8" a="1"/>
  <c r="L85" i="8" s="1"/>
  <c r="L86" i="8" a="1"/>
  <c r="L86" i="8" s="1"/>
  <c r="L84" i="8" a="1"/>
  <c r="L84" i="8" s="1"/>
  <c r="L83" i="8" a="1"/>
  <c r="L83" i="8" s="1"/>
  <c r="L82" i="8" a="1"/>
  <c r="L82" i="8" s="1"/>
  <c r="L81" i="8" a="1"/>
  <c r="L81" i="8" s="1"/>
  <c r="L80" i="8" a="1"/>
  <c r="L80" i="8" s="1"/>
  <c r="L79" i="8" a="1"/>
  <c r="L79" i="8" s="1"/>
  <c r="L78" i="8" a="1"/>
  <c r="L78" i="8" s="1"/>
  <c r="L77" i="8" a="1"/>
  <c r="L77" i="8" s="1"/>
  <c r="L76" i="8" a="1"/>
  <c r="L76" i="8" s="1"/>
  <c r="L75" i="8" a="1"/>
  <c r="L75" i="8" s="1"/>
  <c r="L74" i="8" a="1"/>
  <c r="L74" i="8" s="1"/>
  <c r="L73" i="8" a="1"/>
  <c r="L73" i="8" s="1"/>
  <c r="L72" i="8" a="1"/>
  <c r="L72" i="8" s="1"/>
  <c r="L71" i="8" a="1"/>
  <c r="L71" i="8" s="1"/>
  <c r="L70" i="8" a="1"/>
  <c r="L70" i="8" s="1"/>
  <c r="L69" i="8" a="1"/>
  <c r="L69" i="8" s="1"/>
  <c r="L68" i="8" a="1"/>
  <c r="L68" i="8" s="1"/>
  <c r="L67" i="8" a="1"/>
  <c r="L67" i="8" s="1"/>
  <c r="L44" i="8" a="1"/>
  <c r="L44" i="8" s="1"/>
  <c r="L40" i="8" a="1"/>
  <c r="L40" i="8" s="1"/>
  <c r="L34" i="8" a="1"/>
  <c r="L34" i="8" s="1"/>
  <c r="L31" i="8" a="1"/>
  <c r="L31" i="8" s="1"/>
  <c r="L29" i="8" a="1"/>
  <c r="L29" i="8" s="1"/>
  <c r="L28" i="8" a="1"/>
  <c r="L28" i="8" s="1"/>
  <c r="L13" i="8" a="1"/>
  <c r="L13" i="8" s="1"/>
  <c r="L12" i="8" a="1"/>
  <c r="L12" i="8" s="1"/>
  <c r="L11" i="8" a="1"/>
  <c r="L11" i="8" s="1"/>
  <c r="L10" i="8" a="1"/>
  <c r="L10" i="8" s="1"/>
  <c r="L9" i="8" a="1"/>
  <c r="L9" i="8" s="1"/>
  <c r="L8" i="8" a="1"/>
  <c r="L8" i="8" s="1"/>
  <c r="L7" i="8" a="1"/>
  <c r="L7" i="8" s="1"/>
  <c r="L6" i="8" a="1"/>
  <c r="L6" i="8" s="1"/>
  <c r="L4" i="8" a="1"/>
  <c r="L4" i="8" s="1"/>
  <c r="L3" i="8" a="1"/>
  <c r="L3" i="8" s="1"/>
  <c r="F168" i="10" l="1"/>
  <c r="F298" i="10"/>
  <c r="F283" i="10"/>
  <c r="F215" i="10"/>
  <c r="F193" i="10"/>
  <c r="F54" i="10"/>
  <c r="F29" i="10"/>
  <c r="D72" i="10"/>
  <c r="C89" i="10"/>
  <c r="B141" i="10"/>
  <c r="B87" i="10"/>
  <c r="I241" i="8"/>
  <c r="I200" i="8"/>
  <c r="G53" i="8"/>
  <c r="G27" i="8"/>
  <c r="F5" i="8"/>
  <c r="F65" i="8"/>
  <c r="F64" i="8"/>
  <c r="D142" i="8" a="1"/>
  <c r="D142" i="8" s="1"/>
  <c r="D97" i="8" a="1"/>
  <c r="D97" i="8" s="1"/>
  <c r="G9" i="10" a="1"/>
  <c r="G9" i="10" s="1"/>
  <c r="G136" i="10" a="1"/>
  <c r="G136" i="10" s="1"/>
  <c r="G109" i="10" a="1"/>
  <c r="G109" i="10" s="1"/>
  <c r="G19" i="10" a="1"/>
  <c r="G19" i="10" s="1"/>
  <c r="G43" i="10" a="1"/>
  <c r="G43" i="10" s="1"/>
  <c r="G210" i="10" a="1"/>
  <c r="G210" i="10" s="1"/>
  <c r="G270" i="10" a="1"/>
  <c r="G270" i="10" s="1"/>
  <c r="G257" i="10" a="1"/>
  <c r="G257" i="10" s="1"/>
  <c r="G202" i="10" a="1"/>
  <c r="G202" i="10" s="1"/>
  <c r="G156" i="10" a="1"/>
  <c r="G156" i="10" s="1"/>
  <c r="G157" i="10" a="1"/>
  <c r="G157" i="10" s="1"/>
  <c r="G205" i="10" a="1"/>
  <c r="G205" i="10" s="1"/>
  <c r="G252" i="10" a="1"/>
  <c r="G252" i="10" s="1"/>
  <c r="G51" i="10" a="1"/>
  <c r="G51" i="10" s="1"/>
  <c r="G28" i="10" a="1"/>
  <c r="G28" i="10" s="1"/>
  <c r="G231" i="10" a="1"/>
  <c r="G231" i="10" s="1"/>
  <c r="G116" i="10" a="1"/>
  <c r="G116" i="10" s="1"/>
  <c r="G82" i="10" a="1"/>
  <c r="G82" i="10" s="1"/>
  <c r="G52" i="10" a="1"/>
  <c r="G52" i="10" s="1"/>
  <c r="G59" i="10" a="1"/>
  <c r="G59" i="10" s="1"/>
  <c r="G221" i="10" a="1"/>
  <c r="G221" i="10" s="1"/>
  <c r="G150" i="10" a="1"/>
  <c r="G150" i="10" s="1"/>
  <c r="G143" i="10" a="1"/>
  <c r="G143" i="10" s="1"/>
  <c r="G163" i="10" a="1"/>
  <c r="G163" i="10" s="1"/>
  <c r="G260" i="10" a="1"/>
  <c r="G260" i="10" s="1"/>
  <c r="G222" i="10" a="1"/>
  <c r="G222" i="10" s="1"/>
  <c r="G249" i="10" a="1"/>
  <c r="G249" i="10" s="1"/>
  <c r="G236" i="10" a="1"/>
  <c r="G236" i="10" s="1"/>
  <c r="G232" i="10" a="1"/>
  <c r="G232" i="10" s="1"/>
  <c r="G119" i="10" a="1"/>
  <c r="G119" i="10" s="1"/>
  <c r="G287" i="10" a="1"/>
  <c r="G287" i="10" s="1"/>
  <c r="G77" i="10" a="1"/>
  <c r="G77" i="10" s="1"/>
  <c r="G10" i="10" a="1"/>
  <c r="G10" i="10" s="1"/>
  <c r="G158" i="10" a="1"/>
  <c r="G158" i="10" s="1"/>
  <c r="G272" i="10" a="1"/>
  <c r="G272" i="10" s="1"/>
  <c r="G60" i="10" a="1"/>
  <c r="G60" i="10" s="1"/>
  <c r="G53" i="10" a="1"/>
  <c r="G53" i="10" s="1"/>
  <c r="G261" i="10" a="1"/>
  <c r="G261" i="10" s="1"/>
  <c r="G233" i="10" a="1"/>
  <c r="G233" i="10" s="1"/>
  <c r="G151" i="10" a="1"/>
  <c r="G151" i="10" s="1"/>
  <c r="G66" i="10" a="1"/>
  <c r="G66" i="10" s="1"/>
  <c r="G238" i="10" a="1"/>
  <c r="G238" i="10" s="1"/>
  <c r="G204" i="10" a="1"/>
  <c r="G204" i="10" s="1"/>
  <c r="G176" i="10" a="1"/>
  <c r="G176" i="10" s="1"/>
  <c r="G211" i="10" a="1"/>
  <c r="G211" i="10" s="1"/>
  <c r="G41" i="10" a="1"/>
  <c r="G41" i="10" s="1"/>
  <c r="G288" i="10" a="1"/>
  <c r="G288" i="10" s="1"/>
  <c r="G44" i="10" a="1"/>
  <c r="G44" i="10" s="1"/>
  <c r="G61" i="10" a="1"/>
  <c r="G61" i="10" s="1"/>
  <c r="G123" i="10" a="1"/>
  <c r="G123" i="10" s="1"/>
  <c r="G20" i="10" a="1"/>
  <c r="G20" i="10" s="1"/>
  <c r="G177" i="10" a="1"/>
  <c r="G177" i="10" s="1"/>
  <c r="G78" i="10" a="1"/>
  <c r="G78" i="10" s="1"/>
  <c r="G124" i="10" a="1"/>
  <c r="G124" i="10" s="1"/>
  <c r="G289" i="10" a="1"/>
  <c r="G289" i="10" s="1"/>
  <c r="G253" i="10" a="1"/>
  <c r="G253" i="10" s="1"/>
  <c r="G69" i="10" a="1"/>
  <c r="G69" i="10" s="1"/>
  <c r="G137" i="10" a="1"/>
  <c r="G137" i="10" s="1"/>
  <c r="G92" i="10" a="1"/>
  <c r="G92" i="10" s="1"/>
  <c r="G297" i="10" a="1"/>
  <c r="G297" i="10" s="1"/>
  <c r="G125" i="10" a="1"/>
  <c r="G125" i="10" s="1"/>
  <c r="G144" i="10" a="1"/>
  <c r="G144" i="10" s="1"/>
  <c r="G37" i="10" a="1"/>
  <c r="G37" i="10" s="1"/>
  <c r="G103" i="10" a="1"/>
  <c r="G103" i="10" s="1"/>
  <c r="G145" i="10" a="1"/>
  <c r="G145" i="10" s="1"/>
  <c r="G70" i="10" a="1"/>
  <c r="G70" i="10" s="1"/>
  <c r="G159" i="10" a="1"/>
  <c r="G159" i="10" s="1"/>
  <c r="G262" i="10" a="1"/>
  <c r="G262" i="10" s="1"/>
  <c r="G45" i="10" a="1"/>
  <c r="G45" i="10" s="1"/>
  <c r="G178" i="10" a="1"/>
  <c r="G178" i="10" s="1"/>
  <c r="G226" i="10" a="1"/>
  <c r="G226" i="10" s="1"/>
  <c r="G3" i="10" a="1"/>
  <c r="G3" i="10" s="1"/>
  <c r="G239" i="10" a="1"/>
  <c r="G239" i="10" s="1"/>
  <c r="G277" i="10" a="1"/>
  <c r="G277" i="10" s="1"/>
  <c r="G146" i="10" a="1"/>
  <c r="G146" i="10" s="1"/>
  <c r="G195" i="10" a="1"/>
  <c r="G195" i="10" s="1"/>
  <c r="G46" i="10" a="1"/>
  <c r="G46" i="10" s="1"/>
  <c r="G274" i="10" a="1"/>
  <c r="G274" i="10" s="1"/>
  <c r="G83" i="10" a="1"/>
  <c r="G83" i="10" s="1"/>
  <c r="G126" i="10" a="1"/>
  <c r="G126" i="10" s="1"/>
  <c r="G225" i="10" a="1"/>
  <c r="G225" i="10" s="1"/>
  <c r="G298" i="10" a="1"/>
  <c r="G298" i="10" s="1"/>
  <c r="G21" i="10" a="1"/>
  <c r="G21" i="10" s="1"/>
  <c r="G228" i="10" a="1"/>
  <c r="G228" i="10" s="1"/>
  <c r="G175" i="10" a="1"/>
  <c r="G175" i="10" s="1"/>
  <c r="G62" i="10" a="1"/>
  <c r="G62" i="10" s="1"/>
  <c r="G79" i="10" a="1"/>
  <c r="G79" i="10" s="1"/>
  <c r="G280" i="10" a="1"/>
  <c r="G280" i="10" s="1"/>
  <c r="G295" i="10" a="1"/>
  <c r="G295" i="10" s="1"/>
  <c r="G71" i="10" a="1"/>
  <c r="G71" i="10" s="1"/>
  <c r="G208" i="10" a="1"/>
  <c r="G208" i="10" s="1"/>
  <c r="G240" i="10" a="1"/>
  <c r="G240" i="10" s="1"/>
  <c r="G179" i="10" a="1"/>
  <c r="G179" i="10" s="1"/>
  <c r="G246" i="10" a="1"/>
  <c r="G246" i="10" s="1"/>
  <c r="G54" i="10" a="1"/>
  <c r="G54" i="10" s="1"/>
  <c r="G113" i="10" a="1"/>
  <c r="G113" i="10" s="1"/>
  <c r="G100" i="10" a="1"/>
  <c r="G100" i="10" s="1"/>
  <c r="G299" i="10" a="1"/>
  <c r="G299" i="10" s="1"/>
  <c r="G120" i="10" a="1"/>
  <c r="G120" i="10" s="1"/>
  <c r="G263" i="10" a="1"/>
  <c r="G263" i="10" s="1"/>
  <c r="G170" i="10" a="1"/>
  <c r="G170" i="10" s="1"/>
  <c r="G203" i="10" a="1"/>
  <c r="G203" i="10" s="1"/>
  <c r="G22" i="10" a="1"/>
  <c r="G22" i="10" s="1"/>
  <c r="G55" i="10" a="1"/>
  <c r="G55" i="10" s="1"/>
  <c r="G29" i="10" a="1"/>
  <c r="G29" i="10" s="1"/>
  <c r="G180" i="10" a="1"/>
  <c r="G180" i="10" s="1"/>
  <c r="G181" i="10" a="1"/>
  <c r="G181" i="10" s="1"/>
  <c r="G138" i="10" a="1"/>
  <c r="G138" i="10" s="1"/>
  <c r="G290" i="10" a="1"/>
  <c r="G290" i="10" s="1"/>
  <c r="G56" i="10" a="1"/>
  <c r="G56" i="10" s="1"/>
  <c r="G30" i="10" a="1"/>
  <c r="G30" i="10" s="1"/>
  <c r="G160" i="10" a="1"/>
  <c r="G160" i="10" s="1"/>
  <c r="G121" i="10" a="1"/>
  <c r="G121" i="10" s="1"/>
  <c r="G152" i="10" a="1"/>
  <c r="G152" i="10" s="1"/>
  <c r="G171" i="10" a="1"/>
  <c r="G171" i="10" s="1"/>
  <c r="G172" i="10" a="1"/>
  <c r="G172" i="10" s="1"/>
  <c r="G84" i="10" a="1"/>
  <c r="G84" i="10" s="1"/>
  <c r="G193" i="10" a="1"/>
  <c r="G193" i="10" s="1"/>
  <c r="G281" i="10" a="1"/>
  <c r="G281" i="10" s="1"/>
  <c r="G42" i="10" a="1"/>
  <c r="G42" i="10" s="1"/>
  <c r="G4" i="10" a="1"/>
  <c r="G4" i="10" s="1"/>
  <c r="G11" i="10" a="1"/>
  <c r="G11" i="10" s="1"/>
  <c r="G12" i="10" a="1"/>
  <c r="G12" i="10" s="1"/>
  <c r="G67" i="10" a="1"/>
  <c r="G67" i="10" s="1"/>
  <c r="G57" i="10" a="1"/>
  <c r="G57" i="10" s="1"/>
  <c r="G13" i="10" a="1"/>
  <c r="G13" i="10" s="1"/>
  <c r="G47" i="10" a="1"/>
  <c r="G47" i="10" s="1"/>
  <c r="G98" i="10" a="1"/>
  <c r="G98" i="10" s="1"/>
  <c r="G85" i="10" a="1"/>
  <c r="G85" i="10" s="1"/>
  <c r="G23" i="10" a="1"/>
  <c r="G23" i="10" s="1"/>
  <c r="G234" i="10" a="1"/>
  <c r="G234" i="10" s="1"/>
  <c r="G153" i="10" a="1"/>
  <c r="G153" i="10" s="1"/>
  <c r="G63" i="10" a="1"/>
  <c r="G63" i="10" s="1"/>
  <c r="G35" i="10" a="1"/>
  <c r="G35" i="10" s="1"/>
  <c r="G139" i="10" a="1"/>
  <c r="G139" i="10" s="1"/>
  <c r="G48" i="10" a="1"/>
  <c r="G48" i="10" s="1"/>
  <c r="G173" i="10" a="1"/>
  <c r="G173" i="10" s="1"/>
  <c r="G110" i="10" a="1"/>
  <c r="G110" i="10" s="1"/>
  <c r="G271" i="10" a="1"/>
  <c r="G271" i="10" s="1"/>
  <c r="G286" i="10" a="1"/>
  <c r="G286" i="10" s="1"/>
  <c r="G127" i="10" a="1"/>
  <c r="G127" i="10" s="1"/>
  <c r="G212" i="10" a="1"/>
  <c r="G212" i="10" s="1"/>
  <c r="G68" i="10" a="1"/>
  <c r="G68" i="10" s="1"/>
  <c r="G93" i="10" a="1"/>
  <c r="G93" i="10" s="1"/>
  <c r="G206" i="10" a="1"/>
  <c r="G206" i="10" s="1"/>
  <c r="G154" i="10" a="1"/>
  <c r="G154" i="10" s="1"/>
  <c r="G213" i="10" a="1"/>
  <c r="G213" i="10" s="1"/>
  <c r="G38" i="10" a="1"/>
  <c r="G38" i="10" s="1"/>
  <c r="G194" i="10" a="1"/>
  <c r="G194" i="10" s="1"/>
  <c r="G250" i="10" a="1"/>
  <c r="G250" i="10" s="1"/>
  <c r="G293" i="10" a="1"/>
  <c r="G293" i="10" s="1"/>
  <c r="G241" i="10" a="1"/>
  <c r="G241" i="10" s="1"/>
  <c r="G275" i="10" a="1"/>
  <c r="G275" i="10" s="1"/>
  <c r="G258" i="10" a="1"/>
  <c r="G258" i="10" s="1"/>
  <c r="G164" i="10" a="1"/>
  <c r="G164" i="10" s="1"/>
  <c r="G242" i="10" a="1"/>
  <c r="G242" i="10" s="1"/>
  <c r="G73" i="10" a="1"/>
  <c r="G73" i="10" s="1"/>
  <c r="G187" i="10" a="1"/>
  <c r="G187" i="10" s="1"/>
  <c r="G229" i="10" a="1"/>
  <c r="G229" i="10" s="1"/>
  <c r="G214" i="10" a="1"/>
  <c r="G214" i="10" s="1"/>
  <c r="G24" i="10" a="1"/>
  <c r="G24" i="10" s="1"/>
  <c r="G215" i="10" a="1"/>
  <c r="G215" i="10" s="1"/>
  <c r="G14" i="10" a="1"/>
  <c r="G14" i="10" s="1"/>
  <c r="G49" i="10" a="1"/>
  <c r="G49" i="10" s="1"/>
  <c r="G122" i="10" a="1"/>
  <c r="G122" i="10" s="1"/>
  <c r="G264" i="10" a="1"/>
  <c r="G264" i="10" s="1"/>
  <c r="G243" i="10" a="1"/>
  <c r="G243" i="10" s="1"/>
  <c r="G140" i="10" a="1"/>
  <c r="G140" i="10" s="1"/>
  <c r="G155" i="10" a="1"/>
  <c r="G155" i="10" s="1"/>
  <c r="G300" i="10" a="1"/>
  <c r="G300" i="10" s="1"/>
  <c r="G31" i="10" a="1"/>
  <c r="G31" i="10" s="1"/>
  <c r="G192" i="10" a="1"/>
  <c r="G192" i="10" s="1"/>
  <c r="G6" i="10" a="1"/>
  <c r="G6" i="10" s="1"/>
  <c r="G128" i="10" a="1"/>
  <c r="G128" i="10" s="1"/>
  <c r="G147" i="10" a="1"/>
  <c r="G147" i="10" s="1"/>
  <c r="G184" i="10" a="1"/>
  <c r="G184" i="10" s="1"/>
  <c r="G265" i="10" a="1"/>
  <c r="G265" i="10" s="1"/>
  <c r="G74" i="10" a="1"/>
  <c r="G74" i="10" s="1"/>
  <c r="G161" i="10" a="1"/>
  <c r="G161" i="10" s="1"/>
  <c r="G50" i="10" a="1"/>
  <c r="G50" i="10" s="1"/>
  <c r="G148" i="10" a="1"/>
  <c r="G148" i="10" s="1"/>
  <c r="G216" i="10" a="1"/>
  <c r="G216" i="10" s="1"/>
  <c r="G217" i="10" a="1"/>
  <c r="G217" i="10" s="1"/>
  <c r="G149" i="10" a="1"/>
  <c r="G149" i="10" s="1"/>
  <c r="G94" i="10" a="1"/>
  <c r="G94" i="10" s="1"/>
  <c r="G99" i="10" a="1"/>
  <c r="G99" i="10" s="1"/>
  <c r="G182" i="10" a="1"/>
  <c r="G182" i="10" s="1"/>
  <c r="G32" i="10" a="1"/>
  <c r="G32" i="10" s="1"/>
  <c r="G15" i="10" a="1"/>
  <c r="G15" i="10" s="1"/>
  <c r="G230" i="10" a="1"/>
  <c r="G230" i="10" s="1"/>
  <c r="G80" i="10" a="1"/>
  <c r="G80" i="10" s="1"/>
  <c r="G75" i="10" a="1"/>
  <c r="G75" i="10" s="1"/>
  <c r="G86" i="10" a="1"/>
  <c r="G86" i="10" s="1"/>
  <c r="G165" i="10" a="1"/>
  <c r="G165" i="10" s="1"/>
  <c r="G282" i="10" a="1"/>
  <c r="G282" i="10" s="1"/>
  <c r="G95" i="10" a="1"/>
  <c r="G95" i="10" s="1"/>
  <c r="G114" i="10" a="1"/>
  <c r="G114" i="10" s="1"/>
  <c r="G196" i="10" a="1"/>
  <c r="G196" i="10" s="1"/>
  <c r="G218" i="10" a="1"/>
  <c r="G218" i="10" s="1"/>
  <c r="G209" i="10" a="1"/>
  <c r="G209" i="10" s="1"/>
  <c r="G197" i="10" a="1"/>
  <c r="G197" i="10" s="1"/>
  <c r="G7" i="10" a="1"/>
  <c r="G7" i="10" s="1"/>
  <c r="G276" i="10" a="1"/>
  <c r="G276" i="10" s="1"/>
  <c r="G183" i="10" a="1"/>
  <c r="G183" i="10" s="1"/>
  <c r="G96" i="10" a="1"/>
  <c r="G96" i="10" s="1"/>
  <c r="G16" i="10" a="1"/>
  <c r="G16" i="10" s="1"/>
  <c r="G256" i="10" a="1"/>
  <c r="G256" i="10" s="1"/>
  <c r="G129" i="10" a="1"/>
  <c r="G129" i="10" s="1"/>
  <c r="G174" i="10" a="1"/>
  <c r="G174" i="10" s="1"/>
  <c r="G97" i="10" a="1"/>
  <c r="G97" i="10" s="1"/>
  <c r="G291" i="10" a="1"/>
  <c r="G291" i="10" s="1"/>
  <c r="G33" i="10" a="1"/>
  <c r="G33" i="10" s="1"/>
  <c r="G273" i="10" a="1"/>
  <c r="G273" i="10" s="1"/>
  <c r="G2" i="10" a="1"/>
  <c r="G2" i="10" s="1"/>
  <c r="G198" i="10" a="1"/>
  <c r="G198" i="10" s="1"/>
  <c r="G266" i="10" a="1"/>
  <c r="G266" i="10" s="1"/>
  <c r="G34" i="10" a="1"/>
  <c r="G34" i="10" s="1"/>
  <c r="G141" i="10" a="1"/>
  <c r="G141" i="10" s="1"/>
  <c r="G8" i="10" a="1"/>
  <c r="G8" i="10" s="1"/>
  <c r="G58" i="10" a="1"/>
  <c r="G58" i="10" s="1"/>
  <c r="G223" i="10" a="1"/>
  <c r="G223" i="10" s="1"/>
  <c r="G142" i="10" a="1"/>
  <c r="G142" i="10" s="1"/>
  <c r="G130" i="10" a="1"/>
  <c r="G130" i="10" s="1"/>
  <c r="G90" i="10" a="1"/>
  <c r="G90" i="10" s="1"/>
  <c r="G76" i="10" a="1"/>
  <c r="G76" i="10" s="1"/>
  <c r="G101" i="10" a="1"/>
  <c r="G101" i="10" s="1"/>
  <c r="G25" i="10" a="1"/>
  <c r="G25" i="10" s="1"/>
  <c r="G251" i="10" a="1"/>
  <c r="G251" i="10" s="1"/>
  <c r="G104" i="10" a="1"/>
  <c r="G104" i="10" s="1"/>
  <c r="G227" i="10" a="1"/>
  <c r="G227" i="10" s="1"/>
  <c r="G26" i="10" a="1"/>
  <c r="G26" i="10" s="1"/>
  <c r="G207" i="10" a="1"/>
  <c r="G207" i="10" s="1"/>
  <c r="G201" i="10" a="1"/>
  <c r="G201" i="10" s="1"/>
  <c r="G36" i="10" a="1"/>
  <c r="G36" i="10" s="1"/>
  <c r="G166" i="10" a="1"/>
  <c r="G166" i="10" s="1"/>
  <c r="G5" i="10" a="1"/>
  <c r="G5" i="10" s="1"/>
  <c r="G301" i="10" a="1"/>
  <c r="G301" i="10" s="1"/>
  <c r="G185" i="10" a="1"/>
  <c r="G185" i="10" s="1"/>
  <c r="G131" i="10" a="1"/>
  <c r="G131" i="10" s="1"/>
  <c r="G188" i="10" a="1"/>
  <c r="G188" i="10" s="1"/>
  <c r="G254" i="10" a="1"/>
  <c r="G254" i="10" s="1"/>
  <c r="G283" i="10" a="1"/>
  <c r="G283" i="10" s="1"/>
  <c r="G278" i="10" a="1"/>
  <c r="G278" i="10" s="1"/>
  <c r="G259" i="10" a="1"/>
  <c r="G259" i="10" s="1"/>
  <c r="G189" i="10" a="1"/>
  <c r="G189" i="10" s="1"/>
  <c r="G284" i="10" a="1"/>
  <c r="G284" i="10" s="1"/>
  <c r="G132" i="10" a="1"/>
  <c r="G132" i="10" s="1"/>
  <c r="G267" i="10" a="1"/>
  <c r="G267" i="10" s="1"/>
  <c r="G64" i="10" a="1"/>
  <c r="G64" i="10" s="1"/>
  <c r="G17" i="10" a="1"/>
  <c r="G17" i="10" s="1"/>
  <c r="G111" i="10" a="1"/>
  <c r="G111" i="10" s="1"/>
  <c r="G224" i="10" a="1"/>
  <c r="G224" i="10" s="1"/>
  <c r="G292" i="10" a="1"/>
  <c r="G292" i="10" s="1"/>
  <c r="G285" i="10" a="1"/>
  <c r="G285" i="10" s="1"/>
  <c r="G167" i="10" a="1"/>
  <c r="G167" i="10" s="1"/>
  <c r="G87" i="10" a="1"/>
  <c r="G87" i="10" s="1"/>
  <c r="G199" i="10" a="1"/>
  <c r="G199" i="10" s="1"/>
  <c r="G244" i="10" a="1"/>
  <c r="G244" i="10" s="1"/>
  <c r="G39" i="10" a="1"/>
  <c r="G39" i="10" s="1"/>
  <c r="G296" i="10" a="1"/>
  <c r="G296" i="10" s="1"/>
  <c r="G190" i="10" a="1"/>
  <c r="G190" i="10" s="1"/>
  <c r="G135" i="10" a="1"/>
  <c r="G135" i="10" s="1"/>
  <c r="G40" i="10" a="1"/>
  <c r="G40" i="10" s="1"/>
  <c r="G237" i="10" a="1"/>
  <c r="G237" i="10" s="1"/>
  <c r="G117" i="10" a="1"/>
  <c r="G117" i="10" s="1"/>
  <c r="G102" i="10" a="1"/>
  <c r="G102" i="10" s="1"/>
  <c r="G81" i="10" a="1"/>
  <c r="G81" i="10" s="1"/>
  <c r="G294" i="10" a="1"/>
  <c r="G294" i="10" s="1"/>
  <c r="G72" i="10" a="1"/>
  <c r="G72" i="10" s="1"/>
  <c r="G268" i="10" a="1"/>
  <c r="G268" i="10" s="1"/>
  <c r="G200" i="10" a="1"/>
  <c r="G200" i="10" s="1"/>
  <c r="G255" i="10" a="1"/>
  <c r="G255" i="10" s="1"/>
  <c r="G18" i="10" a="1"/>
  <c r="G18" i="10" s="1"/>
  <c r="G105" i="10" a="1"/>
  <c r="G105" i="10" s="1"/>
  <c r="G112" i="10" a="1"/>
  <c r="G112" i="10" s="1"/>
  <c r="G133" i="10" a="1"/>
  <c r="G133" i="10" s="1"/>
  <c r="G88" i="10" a="1"/>
  <c r="G88" i="10" s="1"/>
  <c r="G27" i="10" a="1"/>
  <c r="G27" i="10" s="1"/>
  <c r="G247" i="10" a="1"/>
  <c r="G247" i="10" s="1"/>
  <c r="G91" i="10" a="1"/>
  <c r="G91" i="10" s="1"/>
  <c r="G191" i="10" a="1"/>
  <c r="G191" i="10" s="1"/>
  <c r="G219" i="10" a="1"/>
  <c r="G219" i="10" s="1"/>
  <c r="G65" i="10" a="1"/>
  <c r="G65" i="10" s="1"/>
  <c r="G248" i="10" a="1"/>
  <c r="G248" i="10" s="1"/>
  <c r="G186" i="10" a="1"/>
  <c r="G186" i="10" s="1"/>
  <c r="G106" i="10" a="1"/>
  <c r="G106" i="10" s="1"/>
  <c r="G235" i="10" a="1"/>
  <c r="G235" i="10" s="1"/>
  <c r="G9" i="4"/>
  <c r="G129" i="4"/>
  <c r="G105" i="4"/>
  <c r="G19" i="4"/>
  <c r="G42" i="4"/>
  <c r="G200" i="4"/>
  <c r="G257" i="4"/>
  <c r="G245" i="4"/>
  <c r="G192" i="4"/>
  <c r="G149" i="4"/>
  <c r="G150" i="4"/>
  <c r="G195" i="4"/>
  <c r="G240" i="4"/>
  <c r="G50" i="4"/>
  <c r="G28" i="4"/>
  <c r="G220" i="4"/>
  <c r="G111" i="4"/>
  <c r="G288" i="4"/>
  <c r="G81" i="4"/>
  <c r="G51" i="4"/>
  <c r="G58" i="4"/>
  <c r="G210" i="4"/>
  <c r="G143" i="4"/>
  <c r="G136" i="4"/>
  <c r="G155" i="4"/>
  <c r="G248" i="4"/>
  <c r="G211" i="4"/>
  <c r="G237" i="4"/>
  <c r="G225" i="4"/>
  <c r="G221" i="4"/>
  <c r="G113" i="4"/>
  <c r="G273" i="4"/>
  <c r="G76" i="4"/>
  <c r="G10" i="4"/>
  <c r="G151" i="4"/>
  <c r="G259" i="4"/>
  <c r="G59" i="4"/>
  <c r="G52" i="4"/>
  <c r="G249" i="4"/>
  <c r="G222" i="4"/>
  <c r="G144" i="4"/>
  <c r="G65" i="4"/>
  <c r="G227" i="4"/>
  <c r="G194" i="4"/>
  <c r="G166" i="4"/>
  <c r="G201" i="4"/>
  <c r="G289" i="4"/>
  <c r="G274" i="4"/>
  <c r="G43" i="4"/>
  <c r="G60" i="4"/>
  <c r="G117" i="4"/>
  <c r="G20" i="4"/>
  <c r="G167" i="4"/>
  <c r="G77" i="4"/>
  <c r="G118" i="4"/>
  <c r="G275" i="4"/>
  <c r="G241" i="4"/>
  <c r="G68" i="4"/>
  <c r="G130" i="4"/>
  <c r="G90" i="4"/>
  <c r="G283" i="4"/>
  <c r="G119" i="4"/>
  <c r="G137" i="4"/>
  <c r="G37" i="4"/>
  <c r="G101" i="4"/>
  <c r="G138" i="4"/>
  <c r="G69" i="4"/>
  <c r="G152" i="4"/>
  <c r="G250" i="4"/>
  <c r="G44" i="4"/>
  <c r="G168" i="4"/>
  <c r="G215" i="4"/>
  <c r="G3" i="4"/>
  <c r="G228" i="4"/>
  <c r="G264" i="4"/>
  <c r="G300" i="4"/>
  <c r="G139" i="4"/>
  <c r="G185" i="4"/>
  <c r="G45" i="4"/>
  <c r="G261" i="4"/>
  <c r="G290" i="4"/>
  <c r="G82" i="4"/>
  <c r="G120" i="4"/>
  <c r="G214" i="4"/>
  <c r="G284" i="4"/>
  <c r="G21" i="4"/>
  <c r="G217" i="4"/>
  <c r="G165" i="4"/>
  <c r="G61" i="4"/>
  <c r="G78" i="4"/>
  <c r="G266" i="4"/>
  <c r="G281" i="4"/>
  <c r="G70" i="4"/>
  <c r="G198" i="4"/>
  <c r="G229" i="4"/>
  <c r="G169" i="4"/>
  <c r="G234" i="4"/>
  <c r="G53" i="4"/>
  <c r="G109" i="4"/>
  <c r="G98" i="4"/>
  <c r="G285" i="4"/>
  <c r="G114" i="4"/>
  <c r="G251" i="4"/>
  <c r="G160" i="4"/>
  <c r="G193" i="4"/>
  <c r="G22" i="4"/>
  <c r="G54" i="4"/>
  <c r="G29" i="4"/>
  <c r="G170" i="4"/>
  <c r="G171" i="4"/>
  <c r="G131" i="4"/>
  <c r="G276" i="4"/>
  <c r="G55" i="4"/>
  <c r="G30" i="4"/>
  <c r="G153" i="4"/>
  <c r="G301" i="4"/>
  <c r="G115" i="4"/>
  <c r="G145" i="4"/>
  <c r="G161" i="4"/>
  <c r="G162" i="4"/>
  <c r="G83" i="4"/>
  <c r="G183" i="4"/>
  <c r="G267" i="4"/>
  <c r="G41" i="4"/>
  <c r="G4" i="4"/>
  <c r="G291" i="4"/>
  <c r="G11" i="4"/>
  <c r="G12" i="4"/>
  <c r="G66" i="4"/>
  <c r="G56" i="4"/>
  <c r="G13" i="4"/>
  <c r="G46" i="4"/>
  <c r="G96" i="4"/>
  <c r="G292" i="4"/>
  <c r="G84" i="4"/>
  <c r="G23" i="4"/>
  <c r="G223" i="4"/>
  <c r="G146" i="4"/>
  <c r="G62" i="4"/>
  <c r="G35" i="4"/>
  <c r="G132" i="4"/>
  <c r="G47" i="4"/>
  <c r="G163" i="4"/>
  <c r="G106" i="4"/>
  <c r="G258" i="4"/>
  <c r="G272" i="4"/>
  <c r="G121" i="4"/>
  <c r="G202" i="4"/>
  <c r="G67" i="4"/>
  <c r="G91" i="4"/>
  <c r="G196" i="4"/>
  <c r="G147" i="4"/>
  <c r="G203" i="4"/>
  <c r="G38" i="4"/>
  <c r="G184" i="4"/>
  <c r="G238" i="4"/>
  <c r="G279" i="4"/>
  <c r="G230" i="4"/>
  <c r="G262" i="4"/>
  <c r="G246" i="4"/>
  <c r="G293" i="4"/>
  <c r="G156" i="4"/>
  <c r="G231" i="4"/>
  <c r="G72" i="4"/>
  <c r="G177" i="4"/>
  <c r="G218" i="4"/>
  <c r="G204" i="4"/>
  <c r="G24" i="4"/>
  <c r="G205" i="4"/>
  <c r="G14" i="4"/>
  <c r="G48" i="4"/>
  <c r="G116" i="4"/>
  <c r="G252" i="4"/>
  <c r="G232" i="4"/>
  <c r="G133" i="4"/>
  <c r="G148" i="4"/>
  <c r="G286" i="4"/>
  <c r="G31" i="4"/>
  <c r="G182" i="4"/>
  <c r="G6" i="4"/>
  <c r="G122" i="4"/>
  <c r="G140" i="4"/>
  <c r="G174" i="4"/>
  <c r="G253" i="4"/>
  <c r="G73" i="4"/>
  <c r="G154" i="4"/>
  <c r="G49" i="4"/>
  <c r="G141" i="4"/>
  <c r="G206" i="4"/>
  <c r="G207" i="4"/>
  <c r="G142" i="4"/>
  <c r="G92" i="4"/>
  <c r="G97" i="4"/>
  <c r="G172" i="4"/>
  <c r="G294" i="4"/>
  <c r="G32" i="4"/>
  <c r="G15" i="4"/>
  <c r="G295" i="4"/>
  <c r="G219" i="4"/>
  <c r="G79" i="4"/>
  <c r="G74" i="4"/>
  <c r="G296" i="4"/>
  <c r="G85" i="4"/>
  <c r="G157" i="4"/>
  <c r="G268" i="4"/>
  <c r="G93" i="4"/>
  <c r="G110" i="4"/>
  <c r="G186" i="4"/>
  <c r="G208" i="4"/>
  <c r="G199" i="4"/>
  <c r="G187" i="4"/>
  <c r="G7" i="4"/>
  <c r="G263" i="4"/>
  <c r="G173" i="4"/>
  <c r="G94" i="4"/>
  <c r="G16" i="4"/>
  <c r="G244" i="4"/>
  <c r="G123" i="4"/>
  <c r="G164" i="4"/>
  <c r="G95" i="4"/>
  <c r="G277" i="4"/>
  <c r="G33" i="4"/>
  <c r="G260" i="4"/>
  <c r="G2" i="4"/>
  <c r="G188" i="4"/>
  <c r="G254" i="4"/>
  <c r="G34" i="4"/>
  <c r="G134" i="4"/>
  <c r="G8" i="4"/>
  <c r="G57" i="4"/>
  <c r="G212" i="4"/>
  <c r="G135" i="4"/>
  <c r="G124" i="4"/>
  <c r="G88" i="4"/>
  <c r="G75" i="4"/>
  <c r="G99" i="4"/>
  <c r="G25" i="4"/>
  <c r="G239" i="4"/>
  <c r="G102" i="4"/>
  <c r="G216" i="4"/>
  <c r="G26" i="4"/>
  <c r="G197" i="4"/>
  <c r="G191" i="4"/>
  <c r="G36" i="4"/>
  <c r="G158" i="4"/>
  <c r="G5" i="4"/>
  <c r="G287" i="4"/>
  <c r="G175" i="4"/>
  <c r="G125" i="4"/>
  <c r="G178" i="4"/>
  <c r="G242" i="4"/>
  <c r="G269" i="4"/>
  <c r="G265" i="4"/>
  <c r="G247" i="4"/>
  <c r="G179" i="4"/>
  <c r="G270" i="4"/>
  <c r="G126" i="4"/>
  <c r="G255" i="4"/>
  <c r="G63" i="4"/>
  <c r="G17" i="4"/>
  <c r="G107" i="4"/>
  <c r="G213" i="4"/>
  <c r="G278" i="4"/>
  <c r="G271" i="4"/>
  <c r="G159" i="4"/>
  <c r="G86" i="4"/>
  <c r="G189" i="4"/>
  <c r="G297" i="4"/>
  <c r="G233" i="4"/>
  <c r="G39" i="4"/>
  <c r="G282" i="4"/>
  <c r="G180" i="4"/>
  <c r="G128" i="4"/>
  <c r="G40" i="4"/>
  <c r="G226" i="4"/>
  <c r="G112" i="4"/>
  <c r="G100" i="4"/>
  <c r="G80" i="4"/>
  <c r="G280" i="4"/>
  <c r="G71" i="4"/>
  <c r="G298" i="4"/>
  <c r="G256" i="4"/>
  <c r="G190" i="4"/>
  <c r="G299" i="4"/>
  <c r="G243" i="4"/>
  <c r="G18" i="4"/>
  <c r="G103" i="4"/>
  <c r="G108" i="4"/>
  <c r="G127" i="4"/>
  <c r="G87" i="4"/>
  <c r="G27" i="4"/>
  <c r="G235" i="4"/>
  <c r="G89" i="4"/>
  <c r="G181" i="4"/>
  <c r="G209" i="4"/>
  <c r="G64" i="4"/>
  <c r="G236" i="4"/>
  <c r="G176" i="4"/>
  <c r="G104" i="4"/>
  <c r="G224" i="4"/>
  <c r="K32" i="8" a="1"/>
  <c r="K32" i="8" s="1"/>
  <c r="K158" i="8" a="1"/>
  <c r="K158" i="8" s="1"/>
  <c r="K196" i="8" a="1"/>
  <c r="K196" i="8" s="1"/>
  <c r="K171" i="8" a="1"/>
  <c r="K171" i="8" s="1"/>
  <c r="K28" i="8" a="1"/>
  <c r="K28" i="8" s="1"/>
  <c r="K254" i="8" a="1"/>
  <c r="K254" i="8" s="1"/>
  <c r="K232" i="8" a="1"/>
  <c r="K232" i="8" s="1"/>
  <c r="K9" i="8" a="1"/>
  <c r="K9" i="8" s="1"/>
  <c r="K90" i="8" a="1"/>
  <c r="K90" i="8" s="1"/>
  <c r="K126" i="8" a="1"/>
  <c r="K126" i="8" s="1"/>
  <c r="K127" i="8" a="1"/>
  <c r="K127" i="8" s="1"/>
  <c r="K50" i="8" a="1"/>
  <c r="K50" i="8" s="1"/>
  <c r="K288" i="8" a="1"/>
  <c r="K288" i="8" s="1"/>
  <c r="K255" i="8" a="1"/>
  <c r="K255" i="8" s="1"/>
  <c r="K130" i="8" a="1"/>
  <c r="K130" i="8" s="1"/>
  <c r="K34" i="8" a="1"/>
  <c r="K34" i="8" s="1"/>
  <c r="K60" i="8" a="1"/>
  <c r="K60" i="8" s="1"/>
  <c r="K193" i="8" a="1"/>
  <c r="K193" i="8" s="1"/>
  <c r="K159" i="8" a="1"/>
  <c r="K159" i="8" s="1"/>
  <c r="K268" i="8" a="1"/>
  <c r="K268" i="8" s="1"/>
  <c r="K91" i="8" a="1"/>
  <c r="K91" i="8" s="1"/>
  <c r="K110" i="8" a="1"/>
  <c r="K110" i="8" s="1"/>
  <c r="K128" i="8" a="1"/>
  <c r="K128" i="8" s="1"/>
  <c r="K215" i="8" a="1"/>
  <c r="K215" i="8" s="1"/>
  <c r="K10" i="8" a="1"/>
  <c r="K10" i="8" s="1"/>
  <c r="K143" i="8" a="1"/>
  <c r="K143" i="8" s="1"/>
  <c r="K88" i="8" a="1"/>
  <c r="K88" i="8" s="1"/>
  <c r="K30" i="8" a="1"/>
  <c r="K30" i="8" s="1"/>
  <c r="K270" i="8" a="1"/>
  <c r="K270" i="8" s="1"/>
  <c r="K165" i="8" a="1"/>
  <c r="K165" i="8" s="1"/>
  <c r="K131" i="8" a="1"/>
  <c r="K131" i="8" s="1"/>
  <c r="K132" i="8" a="1"/>
  <c r="K132" i="8" s="1"/>
  <c r="K74" i="8" a="1"/>
  <c r="K74" i="8" s="1"/>
  <c r="K156" i="8" a="1"/>
  <c r="K156" i="8" s="1"/>
  <c r="K16" i="8" a="1"/>
  <c r="K16" i="8" s="1"/>
  <c r="K116" i="8" a="1"/>
  <c r="K116" i="8" s="1"/>
  <c r="K49" i="8" a="1"/>
  <c r="K49" i="8" s="1"/>
  <c r="K61" i="8" a="1"/>
  <c r="K61" i="8" s="1"/>
  <c r="K194" i="8" a="1"/>
  <c r="K194" i="8" s="1"/>
  <c r="K243" i="8" a="1"/>
  <c r="K243" i="8" s="1"/>
  <c r="K117" i="8" a="1"/>
  <c r="K117" i="8" s="1"/>
  <c r="K204" i="8" a="1"/>
  <c r="K204" i="8" s="1"/>
  <c r="K17" i="8" a="1"/>
  <c r="K17" i="8" s="1"/>
  <c r="K271" i="8" a="1"/>
  <c r="K271" i="8" s="1"/>
  <c r="K230" i="8" a="1"/>
  <c r="K230" i="8" s="1"/>
  <c r="K294" i="8" a="1"/>
  <c r="K294" i="8" s="1"/>
  <c r="K166" i="8" a="1"/>
  <c r="K166" i="8" s="1"/>
  <c r="K135" i="8" a="1"/>
  <c r="K135" i="8" s="1"/>
  <c r="K197" i="8" a="1"/>
  <c r="K197" i="8" s="1"/>
  <c r="K147" i="8" a="1"/>
  <c r="K147" i="8" s="1"/>
  <c r="K187" i="8" a="1"/>
  <c r="K187" i="8" s="1"/>
  <c r="K272" i="8" a="1"/>
  <c r="K272" i="8" s="1"/>
  <c r="K11" i="8" a="1"/>
  <c r="K11" i="8" s="1"/>
  <c r="K33" i="8" a="1"/>
  <c r="K33" i="8" s="1"/>
  <c r="K208" i="8" a="1"/>
  <c r="K208" i="8" s="1"/>
  <c r="K173" i="8" a="1"/>
  <c r="K173" i="8" s="1"/>
  <c r="K220" i="8" a="1"/>
  <c r="K220" i="8" s="1"/>
  <c r="K287" i="8" a="1"/>
  <c r="K287" i="8" s="1"/>
  <c r="K51" i="8" a="1"/>
  <c r="K51" i="8" s="1"/>
  <c r="K70" i="8" a="1"/>
  <c r="K70" i="8" s="1"/>
  <c r="K209" i="8" a="1"/>
  <c r="K209" i="8" s="1"/>
  <c r="K203" i="8" a="1"/>
  <c r="K203" i="8" s="1"/>
  <c r="K92" i="8" a="1"/>
  <c r="K92" i="8" s="1"/>
  <c r="K18" i="8" a="1"/>
  <c r="K18" i="8" s="1"/>
  <c r="K19" i="8" a="1"/>
  <c r="K19" i="8" s="1"/>
  <c r="K97" i="8" a="1"/>
  <c r="K97" i="8" s="1"/>
  <c r="K216" i="8" a="1"/>
  <c r="K216" i="8" s="1"/>
  <c r="K237" i="8" a="1"/>
  <c r="K237" i="8" s="1"/>
  <c r="K226" i="8" a="1"/>
  <c r="K226" i="8" s="1"/>
  <c r="K160" i="8" a="1"/>
  <c r="K160" i="8" s="1"/>
  <c r="K62" i="8" a="1"/>
  <c r="K62" i="8" s="1"/>
  <c r="K301" i="8" a="1"/>
  <c r="K301" i="8" s="1"/>
  <c r="K280" i="8" a="1"/>
  <c r="K280" i="8" s="1"/>
  <c r="K63" i="8" a="1"/>
  <c r="K63" i="8" s="1"/>
  <c r="K195" i="8" a="1"/>
  <c r="K195" i="8" s="1"/>
  <c r="K192" i="8" a="1"/>
  <c r="K192" i="8" s="1"/>
  <c r="K235" i="8" a="1"/>
  <c r="K235" i="8" s="1"/>
  <c r="K261" i="8" a="1"/>
  <c r="K261" i="8" s="1"/>
  <c r="K298" i="8" a="1"/>
  <c r="K298" i="8" s="1"/>
  <c r="K218" i="8" a="1"/>
  <c r="K218" i="8" s="1"/>
  <c r="K100" i="8" a="1"/>
  <c r="K100" i="8" s="1"/>
  <c r="K250" i="8" a="1"/>
  <c r="K250" i="8" s="1"/>
  <c r="K80" i="8" a="1"/>
  <c r="K80" i="8" s="1"/>
  <c r="K256" i="8" a="1"/>
  <c r="K256" i="8" s="1"/>
  <c r="K198" i="8" a="1"/>
  <c r="K198" i="8" s="1"/>
  <c r="K64" i="8" a="1"/>
  <c r="K64" i="8" s="1"/>
  <c r="K189" i="8" a="1"/>
  <c r="K189" i="8" s="1"/>
  <c r="K82" i="8" a="1"/>
  <c r="K82" i="8" s="1"/>
  <c r="K227" i="8" a="1"/>
  <c r="K227" i="8" s="1"/>
  <c r="K212" i="8" a="1"/>
  <c r="K212" i="8" s="1"/>
  <c r="K136" i="8" a="1"/>
  <c r="K136" i="8" s="1"/>
  <c r="K190" i="8" a="1"/>
  <c r="K190" i="8" s="1"/>
  <c r="K236" i="8" a="1"/>
  <c r="K236" i="8" s="1"/>
  <c r="K233" i="8" a="1"/>
  <c r="K233" i="8" s="1"/>
  <c r="K109" i="8" a="1"/>
  <c r="K109" i="8" s="1"/>
  <c r="K35" i="8" a="1"/>
  <c r="K35" i="8" s="1"/>
  <c r="K167" i="8" a="1"/>
  <c r="K167" i="8" s="1"/>
  <c r="K137" i="8" a="1"/>
  <c r="K137" i="8" s="1"/>
  <c r="K65" i="8" a="1"/>
  <c r="K65" i="8" s="1"/>
  <c r="K213" i="8" a="1"/>
  <c r="K213" i="8" s="1"/>
  <c r="K275" i="8" a="1"/>
  <c r="K275" i="8" s="1"/>
  <c r="K221" i="8" a="1"/>
  <c r="K221" i="8" s="1"/>
  <c r="K115" i="8" a="1"/>
  <c r="K115" i="8" s="1"/>
  <c r="K20" i="8" a="1"/>
  <c r="K20" i="8" s="1"/>
  <c r="K214" i="8" a="1"/>
  <c r="K214" i="8" s="1"/>
  <c r="K41" i="8" a="1"/>
  <c r="K41" i="8" s="1"/>
  <c r="K52" i="8" a="1"/>
  <c r="K52" i="8" s="1"/>
  <c r="K289" i="8" a="1"/>
  <c r="K289" i="8" s="1"/>
  <c r="K145" i="8" a="1"/>
  <c r="K145" i="8" s="1"/>
  <c r="K133" i="8" a="1"/>
  <c r="K133" i="8" s="1"/>
  <c r="K96" i="8" a="1"/>
  <c r="K96" i="8" s="1"/>
  <c r="K290" i="8" a="1"/>
  <c r="K290" i="8" s="1"/>
  <c r="K219" i="8" a="1"/>
  <c r="K219" i="8" s="1"/>
  <c r="K238" i="8" a="1"/>
  <c r="K238" i="8" s="1"/>
  <c r="K148" i="8" a="1"/>
  <c r="K148" i="8" s="1"/>
  <c r="K118" i="8" a="1"/>
  <c r="K118" i="8" s="1"/>
  <c r="K154" i="8" a="1"/>
  <c r="K154" i="8" s="1"/>
  <c r="K223" i="8" a="1"/>
  <c r="K223" i="8" s="1"/>
  <c r="K75" i="8" a="1"/>
  <c r="K75" i="8" s="1"/>
  <c r="K21" i="8" a="1"/>
  <c r="K21" i="8" s="1"/>
  <c r="K281" i="8" a="1"/>
  <c r="K281" i="8" s="1"/>
  <c r="K83" i="8" a="1"/>
  <c r="K83" i="8" s="1"/>
  <c r="K234" i="8" a="1"/>
  <c r="K234" i="8" s="1"/>
  <c r="K168" i="8" a="1"/>
  <c r="K168" i="8" s="1"/>
  <c r="K101" i="8" a="1"/>
  <c r="K101" i="8" s="1"/>
  <c r="K146" i="8" a="1"/>
  <c r="K146" i="8" s="1"/>
  <c r="K102" i="8" a="1"/>
  <c r="K102" i="8" s="1"/>
  <c r="K81" i="8" a="1"/>
  <c r="K81" i="8" s="1"/>
  <c r="K228" i="8" a="1"/>
  <c r="K228" i="8" s="1"/>
  <c r="K276" i="8" a="1"/>
  <c r="K276" i="8" s="1"/>
  <c r="K2" i="8" a="1"/>
  <c r="K2" i="8" s="1"/>
  <c r="K84" i="8" a="1"/>
  <c r="K84" i="8" s="1"/>
  <c r="K86" i="8" a="1"/>
  <c r="K86" i="8" s="1"/>
  <c r="K53" i="8" a="1"/>
  <c r="K53" i="8" s="1"/>
  <c r="K22" i="8" a="1"/>
  <c r="K22" i="8" s="1"/>
  <c r="K257" i="8" a="1"/>
  <c r="K257" i="8" s="1"/>
  <c r="K113" i="8" a="1"/>
  <c r="K113" i="8" s="1"/>
  <c r="K103" i="8" a="1"/>
  <c r="K103" i="8" s="1"/>
  <c r="K191" i="8" a="1"/>
  <c r="K191" i="8" s="1"/>
  <c r="K93" i="8" a="1"/>
  <c r="K93" i="8" s="1"/>
  <c r="K54" i="8" a="1"/>
  <c r="K54" i="8" s="1"/>
  <c r="K180" i="8" a="1"/>
  <c r="K180" i="8" s="1"/>
  <c r="K161" i="8" a="1"/>
  <c r="K161" i="8" s="1"/>
  <c r="K76" i="8" a="1"/>
  <c r="K76" i="8" s="1"/>
  <c r="K277" i="8" a="1"/>
  <c r="K277" i="8" s="1"/>
  <c r="K87" i="8" a="1"/>
  <c r="K87" i="8" s="1"/>
  <c r="K31" i="8" a="1"/>
  <c r="K31" i="8" s="1"/>
  <c r="K3" i="8" a="1"/>
  <c r="K3" i="8" s="1"/>
  <c r="K282" i="8" a="1"/>
  <c r="K282" i="8" s="1"/>
  <c r="K71" i="8" a="1"/>
  <c r="K71" i="8" s="1"/>
  <c r="K182" i="8" a="1"/>
  <c r="K182" i="8" s="1"/>
  <c r="K258" i="8" a="1"/>
  <c r="K258" i="8" s="1"/>
  <c r="K264" i="8" a="1"/>
  <c r="K264" i="8" s="1"/>
  <c r="K211" i="8" a="1"/>
  <c r="K211" i="8" s="1"/>
  <c r="K138" i="8" a="1"/>
  <c r="K138" i="8" s="1"/>
  <c r="K66" i="8" a="1"/>
  <c r="K66" i="8" s="1"/>
  <c r="K224" i="8" a="1"/>
  <c r="K224" i="8" s="1"/>
  <c r="K47" i="8" a="1"/>
  <c r="K47" i="8" s="1"/>
  <c r="K23" i="8" a="1"/>
  <c r="K23" i="8" s="1"/>
  <c r="K4" i="8" a="1"/>
  <c r="K4" i="8" s="1"/>
  <c r="K149" i="8" a="1"/>
  <c r="K149" i="8" s="1"/>
  <c r="K5" i="8" a="1"/>
  <c r="K5" i="8" s="1"/>
  <c r="K186" i="8" a="1"/>
  <c r="K186" i="8" s="1"/>
  <c r="K178" i="8" a="1"/>
  <c r="K178" i="8" s="1"/>
  <c r="K231" i="8" a="1"/>
  <c r="K231" i="8" s="1"/>
  <c r="K283" i="8" a="1"/>
  <c r="K283" i="8" s="1"/>
  <c r="K222" i="8" a="1"/>
  <c r="K222" i="8" s="1"/>
  <c r="K172" i="8" a="1"/>
  <c r="K172" i="8" s="1"/>
  <c r="K77" i="8" a="1"/>
  <c r="K77" i="8" s="1"/>
  <c r="K169" i="8" a="1"/>
  <c r="K169" i="8" s="1"/>
  <c r="K244" i="8" a="1"/>
  <c r="K244" i="8" s="1"/>
  <c r="K104" i="8" a="1"/>
  <c r="K104" i="8" s="1"/>
  <c r="K267" i="8" a="1"/>
  <c r="K267" i="8" s="1"/>
  <c r="K259" i="8" a="1"/>
  <c r="K259" i="8" s="1"/>
  <c r="K229" i="8" a="1"/>
  <c r="K229" i="8" s="1"/>
  <c r="K291" i="8" a="1"/>
  <c r="K291" i="8" s="1"/>
  <c r="K241" i="8" a="1"/>
  <c r="K241" i="8" s="1"/>
  <c r="K239" i="8" a="1"/>
  <c r="K239" i="8" s="1"/>
  <c r="K144" i="8" a="1"/>
  <c r="K144" i="8" s="1"/>
  <c r="K174" i="8" a="1"/>
  <c r="K174" i="8" s="1"/>
  <c r="K273" i="8" a="1"/>
  <c r="K273" i="8" s="1"/>
  <c r="K105" i="8" a="1"/>
  <c r="K105" i="8" s="1"/>
  <c r="K297" i="8" a="1"/>
  <c r="K297" i="8" s="1"/>
  <c r="K299" i="8" a="1"/>
  <c r="K299" i="8" s="1"/>
  <c r="K99" i="8" a="1"/>
  <c r="K99" i="8" s="1"/>
  <c r="K248" i="8" a="1"/>
  <c r="K248" i="8" s="1"/>
  <c r="K242" i="8" a="1"/>
  <c r="K242" i="8" s="1"/>
  <c r="K78" i="8" a="1"/>
  <c r="K78" i="8" s="1"/>
  <c r="K119" i="8" a="1"/>
  <c r="K119" i="8" s="1"/>
  <c r="K24" i="8" a="1"/>
  <c r="K24" i="8" s="1"/>
  <c r="K6" i="8" a="1"/>
  <c r="K6" i="8" s="1"/>
  <c r="K206" i="8" a="1"/>
  <c r="K206" i="8" s="1"/>
  <c r="K251" i="8" a="1"/>
  <c r="K251" i="8" s="1"/>
  <c r="K106" i="8" a="1"/>
  <c r="K106" i="8" s="1"/>
  <c r="K111" i="8" a="1"/>
  <c r="K111" i="8" s="1"/>
  <c r="K42" i="8" a="1"/>
  <c r="K42" i="8" s="1"/>
  <c r="K13" i="8" a="1"/>
  <c r="K13" i="8" s="1"/>
  <c r="K252" i="8" a="1"/>
  <c r="K252" i="8" s="1"/>
  <c r="K139" i="8" a="1"/>
  <c r="K139" i="8" s="1"/>
  <c r="K199" i="8" a="1"/>
  <c r="K199" i="8" s="1"/>
  <c r="K98" i="8" a="1"/>
  <c r="K98" i="8" s="1"/>
  <c r="K94" i="8" a="1"/>
  <c r="K94" i="8" s="1"/>
  <c r="K44" i="8" a="1"/>
  <c r="K44" i="8" s="1"/>
  <c r="K120" i="8" a="1"/>
  <c r="K120" i="8" s="1"/>
  <c r="K200" i="8" a="1"/>
  <c r="K200" i="8" s="1"/>
  <c r="K79" i="8" a="1"/>
  <c r="K79" i="8" s="1"/>
  <c r="K292" i="8" a="1"/>
  <c r="K292" i="8" s="1"/>
  <c r="K121" i="8" a="1"/>
  <c r="K121" i="8" s="1"/>
  <c r="K7" i="8" a="1"/>
  <c r="K7" i="8" s="1"/>
  <c r="K56" i="8" a="1"/>
  <c r="K56" i="8" s="1"/>
  <c r="K85" i="8" a="1"/>
  <c r="K85" i="8" s="1"/>
  <c r="K183" i="8" a="1"/>
  <c r="K183" i="8" s="1"/>
  <c r="K40" i="8" a="1"/>
  <c r="K40" i="8" s="1"/>
  <c r="K269" i="8" a="1"/>
  <c r="K269" i="8" s="1"/>
  <c r="K162" i="8" a="1"/>
  <c r="K162" i="8" s="1"/>
  <c r="K150" i="8" a="1"/>
  <c r="K150" i="8" s="1"/>
  <c r="K14" i="8" a="1"/>
  <c r="K14" i="8" s="1"/>
  <c r="K246" i="8" a="1"/>
  <c r="K246" i="8" s="1"/>
  <c r="K72" i="8" a="1"/>
  <c r="K72" i="8" s="1"/>
  <c r="K151" i="8" a="1"/>
  <c r="K151" i="8" s="1"/>
  <c r="K112" i="8" a="1"/>
  <c r="K112" i="8" s="1"/>
  <c r="K179" i="8" a="1"/>
  <c r="K179" i="8" s="1"/>
  <c r="K262" i="8" a="1"/>
  <c r="K262" i="8" s="1"/>
  <c r="K181" i="8" a="1"/>
  <c r="K181" i="8" s="1"/>
  <c r="K278" i="8" a="1"/>
  <c r="K278" i="8" s="1"/>
  <c r="K68" i="8" a="1"/>
  <c r="K68" i="8" s="1"/>
  <c r="K300" i="8" a="1"/>
  <c r="K300" i="8" s="1"/>
  <c r="K107" i="8" a="1"/>
  <c r="K107" i="8" s="1"/>
  <c r="K108" i="8" a="1"/>
  <c r="K108" i="8" s="1"/>
  <c r="K245" i="8" a="1"/>
  <c r="K245" i="8" s="1"/>
  <c r="K152" i="8" a="1"/>
  <c r="K152" i="8" s="1"/>
  <c r="K142" i="8" a="1"/>
  <c r="K142" i="8" s="1"/>
  <c r="K210" i="8" a="1"/>
  <c r="K210" i="8" s="1"/>
  <c r="K73" i="8" a="1"/>
  <c r="K73" i="8" s="1"/>
  <c r="K249" i="8" a="1"/>
  <c r="K249" i="8" s="1"/>
  <c r="K122" i="8" a="1"/>
  <c r="K122" i="8" s="1"/>
  <c r="K57" i="8" a="1"/>
  <c r="K57" i="8" s="1"/>
  <c r="K36" i="8" a="1"/>
  <c r="K36" i="8" s="1"/>
  <c r="K48" i="8" a="1"/>
  <c r="K48" i="8" s="1"/>
  <c r="K37" i="8" a="1"/>
  <c r="K37" i="8" s="1"/>
  <c r="K188" i="8" a="1"/>
  <c r="K188" i="8" s="1"/>
  <c r="K153" i="8" a="1"/>
  <c r="K153" i="8" s="1"/>
  <c r="K201" i="8" a="1"/>
  <c r="K201" i="8" s="1"/>
  <c r="K43" i="8" a="1"/>
  <c r="K43" i="8" s="1"/>
  <c r="K175" i="8" a="1"/>
  <c r="K175" i="8" s="1"/>
  <c r="K295" i="8" a="1"/>
  <c r="K295" i="8" s="1"/>
  <c r="K58" i="8" a="1"/>
  <c r="K58" i="8" s="1"/>
  <c r="K293" i="8" a="1"/>
  <c r="K293" i="8" s="1"/>
  <c r="K263" i="8" a="1"/>
  <c r="K263" i="8" s="1"/>
  <c r="K184" i="8" a="1"/>
  <c r="K184" i="8" s="1"/>
  <c r="K114" i="8" a="1"/>
  <c r="K114" i="8" s="1"/>
  <c r="K45" i="8" a="1"/>
  <c r="K45" i="8" s="1"/>
  <c r="K253" i="8" a="1"/>
  <c r="K253" i="8" s="1"/>
  <c r="K207" i="8" a="1"/>
  <c r="K207" i="8" s="1"/>
  <c r="K284" i="8" a="1"/>
  <c r="K284" i="8" s="1"/>
  <c r="K38" i="8" a="1"/>
  <c r="K38" i="8" s="1"/>
  <c r="K217" i="8" a="1"/>
  <c r="K217" i="8" s="1"/>
  <c r="K123" i="8" a="1"/>
  <c r="K123" i="8" s="1"/>
  <c r="K25" i="8" a="1"/>
  <c r="K25" i="8" s="1"/>
  <c r="K163" i="8" a="1"/>
  <c r="K163" i="8" s="1"/>
  <c r="K26" i="8" a="1"/>
  <c r="K26" i="8" s="1"/>
  <c r="K8" i="8" a="1"/>
  <c r="K8" i="8" s="1"/>
  <c r="K176" i="8" a="1"/>
  <c r="K176" i="8" s="1"/>
  <c r="K27" i="8" a="1"/>
  <c r="K27" i="8" s="1"/>
  <c r="K134" i="8" a="1"/>
  <c r="K134" i="8" s="1"/>
  <c r="K89" i="8" a="1"/>
  <c r="K89" i="8" s="1"/>
  <c r="K46" i="8" a="1"/>
  <c r="K46" i="8" s="1"/>
  <c r="K285" i="8" a="1"/>
  <c r="K285" i="8" s="1"/>
  <c r="K124" i="8" a="1"/>
  <c r="K124" i="8" s="1"/>
  <c r="K95" i="8" a="1"/>
  <c r="K95" i="8" s="1"/>
  <c r="K59" i="8" a="1"/>
  <c r="K59" i="8" s="1"/>
  <c r="K157" i="8" a="1"/>
  <c r="K157" i="8" s="1"/>
  <c r="K286" i="8" a="1"/>
  <c r="K286" i="8" s="1"/>
  <c r="K185" i="8" a="1"/>
  <c r="K185" i="8" s="1"/>
  <c r="K279" i="8" a="1"/>
  <c r="K279" i="8" s="1"/>
  <c r="K69" i="8" a="1"/>
  <c r="K69" i="8" s="1"/>
  <c r="K177" i="8" a="1"/>
  <c r="K177" i="8" s="1"/>
  <c r="K29" i="8" a="1"/>
  <c r="K29" i="8" s="1"/>
  <c r="K240" i="8" a="1"/>
  <c r="K240" i="8" s="1"/>
  <c r="K274" i="8" a="1"/>
  <c r="K274" i="8" s="1"/>
  <c r="K39" i="8" a="1"/>
  <c r="K39" i="8" s="1"/>
  <c r="K296" i="8" a="1"/>
  <c r="K296" i="8" s="1"/>
  <c r="K155" i="8" a="1"/>
  <c r="K155" i="8" s="1"/>
  <c r="K30" i="3"/>
  <c r="K150" i="3"/>
  <c r="K186" i="3"/>
  <c r="K161" i="3"/>
  <c r="K14" i="3"/>
  <c r="K240" i="3"/>
  <c r="K218" i="3"/>
  <c r="K9" i="3"/>
  <c r="K86" i="3"/>
  <c r="K121" i="3"/>
  <c r="K122" i="3"/>
  <c r="K48" i="3"/>
  <c r="K269" i="3"/>
  <c r="K238" i="3"/>
  <c r="K124" i="3"/>
  <c r="K31" i="3"/>
  <c r="K57" i="3"/>
  <c r="K183" i="3"/>
  <c r="K151" i="3"/>
  <c r="K247" i="3"/>
  <c r="K87" i="3"/>
  <c r="K106" i="3"/>
  <c r="K123" i="3"/>
  <c r="K199" i="3"/>
  <c r="K10" i="3"/>
  <c r="K135" i="3"/>
  <c r="K283" i="3"/>
  <c r="K284" i="3"/>
  <c r="K84" i="3"/>
  <c r="K28" i="3"/>
  <c r="K251" i="3"/>
  <c r="K156" i="3"/>
  <c r="K125" i="3"/>
  <c r="K126" i="3"/>
  <c r="K70" i="3"/>
  <c r="K148" i="3"/>
  <c r="K15" i="3"/>
  <c r="K112" i="3"/>
  <c r="K45" i="3"/>
  <c r="K58" i="3"/>
  <c r="K184" i="3"/>
  <c r="K228" i="3"/>
  <c r="K113" i="3"/>
  <c r="K192" i="3"/>
  <c r="K16" i="3"/>
  <c r="K252" i="3"/>
  <c r="K216" i="3"/>
  <c r="K275" i="3"/>
  <c r="K157" i="3"/>
  <c r="K129" i="3"/>
  <c r="K187" i="3"/>
  <c r="K139" i="3"/>
  <c r="K177" i="3"/>
  <c r="K253" i="3"/>
  <c r="K11" i="3"/>
  <c r="K32" i="3"/>
  <c r="K194" i="3"/>
  <c r="K163" i="3"/>
  <c r="K207" i="3"/>
  <c r="K263" i="3"/>
  <c r="K49" i="3"/>
  <c r="K66" i="3"/>
  <c r="K287" i="3"/>
  <c r="K196" i="3"/>
  <c r="K188" i="3"/>
  <c r="K88" i="3"/>
  <c r="K17" i="3"/>
  <c r="K18" i="3"/>
  <c r="K93" i="3"/>
  <c r="K203" i="3"/>
  <c r="K223" i="3"/>
  <c r="K211" i="3"/>
  <c r="K152" i="3"/>
  <c r="K59" i="3"/>
  <c r="K281" i="3"/>
  <c r="K259" i="3"/>
  <c r="K60" i="3"/>
  <c r="K185" i="3"/>
  <c r="K179" i="3"/>
  <c r="K220" i="3"/>
  <c r="K244" i="3"/>
  <c r="K279" i="3"/>
  <c r="K285" i="3"/>
  <c r="K205" i="3"/>
  <c r="K96" i="3"/>
  <c r="K230" i="3"/>
  <c r="K286" i="3"/>
  <c r="K76" i="3"/>
  <c r="K239" i="3"/>
  <c r="K189" i="3"/>
  <c r="K61" i="3"/>
  <c r="K180" i="3"/>
  <c r="K78" i="3"/>
  <c r="K213" i="3"/>
  <c r="K200" i="3"/>
  <c r="K130" i="3"/>
  <c r="K181" i="3"/>
  <c r="K221" i="3"/>
  <c r="K219" i="3"/>
  <c r="K103" i="3"/>
  <c r="K33" i="3"/>
  <c r="K158" i="3"/>
  <c r="K131" i="3"/>
  <c r="K62" i="3"/>
  <c r="K201" i="3"/>
  <c r="K256" i="3"/>
  <c r="K208" i="3"/>
  <c r="K111" i="3"/>
  <c r="K288" i="3"/>
  <c r="K19" i="3"/>
  <c r="K202" i="3"/>
  <c r="K39" i="3"/>
  <c r="K50" i="3"/>
  <c r="K270" i="3"/>
  <c r="K137" i="3"/>
  <c r="K127" i="3"/>
  <c r="K89" i="3"/>
  <c r="K271" i="3"/>
  <c r="K206" i="3"/>
  <c r="K224" i="3"/>
  <c r="K140" i="3"/>
  <c r="K114" i="3"/>
  <c r="K146" i="3"/>
  <c r="K210" i="3"/>
  <c r="K71" i="3"/>
  <c r="K20" i="3"/>
  <c r="K260" i="3"/>
  <c r="K79" i="3"/>
  <c r="K222" i="3"/>
  <c r="K159" i="3"/>
  <c r="K97" i="3"/>
  <c r="K138" i="3"/>
  <c r="K98" i="3"/>
  <c r="K77" i="3"/>
  <c r="K214" i="3"/>
  <c r="K257" i="3"/>
  <c r="K291" i="3"/>
  <c r="K2" i="3"/>
  <c r="K80" i="3"/>
  <c r="K81" i="3"/>
  <c r="K51" i="3"/>
  <c r="K21" i="3"/>
  <c r="K241" i="3"/>
  <c r="K109" i="3"/>
  <c r="K99" i="3"/>
  <c r="K182" i="3"/>
  <c r="K90" i="3"/>
  <c r="K52" i="3"/>
  <c r="K170" i="3"/>
  <c r="K153" i="3"/>
  <c r="K72" i="3"/>
  <c r="K258" i="3"/>
  <c r="K83" i="3"/>
  <c r="K29" i="3"/>
  <c r="K3" i="3"/>
  <c r="K264" i="3"/>
  <c r="K67" i="3"/>
  <c r="K172" i="3"/>
  <c r="K242" i="3"/>
  <c r="K249" i="3"/>
  <c r="K198" i="3"/>
  <c r="K132" i="3"/>
  <c r="K63" i="3"/>
  <c r="K212" i="3"/>
  <c r="K46" i="3"/>
  <c r="K289" i="3"/>
  <c r="K22" i="3"/>
  <c r="K4" i="3"/>
  <c r="K141" i="3"/>
  <c r="K5" i="3"/>
  <c r="K173" i="3"/>
  <c r="K164" i="3"/>
  <c r="K217" i="3"/>
  <c r="K265" i="3"/>
  <c r="K209" i="3"/>
  <c r="K162" i="3"/>
  <c r="K73" i="3"/>
  <c r="K160" i="3"/>
  <c r="K290" i="3"/>
  <c r="K229" i="3"/>
  <c r="K100" i="3"/>
  <c r="K250" i="3"/>
  <c r="K243" i="3"/>
  <c r="K215" i="3"/>
  <c r="K272" i="3"/>
  <c r="K300" i="3"/>
  <c r="K225" i="3"/>
  <c r="K136" i="3"/>
  <c r="K165" i="3"/>
  <c r="K254" i="3"/>
  <c r="K101" i="3"/>
  <c r="K278" i="3"/>
  <c r="K280" i="3"/>
  <c r="K94" i="3"/>
  <c r="K234" i="3"/>
  <c r="K292" i="3"/>
  <c r="K293" i="3"/>
  <c r="K227" i="3"/>
  <c r="K74" i="3"/>
  <c r="K115" i="3"/>
  <c r="K298" i="3"/>
  <c r="K23" i="3"/>
  <c r="K6" i="3"/>
  <c r="K193" i="3"/>
  <c r="K231" i="3"/>
  <c r="K301" i="3"/>
  <c r="K102" i="3"/>
  <c r="K107" i="3"/>
  <c r="K40" i="3"/>
  <c r="K12" i="3"/>
  <c r="K236" i="3"/>
  <c r="K133" i="3"/>
  <c r="K190" i="3"/>
  <c r="K95" i="3"/>
  <c r="K91" i="3"/>
  <c r="K41" i="3"/>
  <c r="K116" i="3"/>
  <c r="K299" i="3"/>
  <c r="K75" i="3"/>
  <c r="K273" i="3"/>
  <c r="K294" i="3"/>
  <c r="K117" i="3"/>
  <c r="K7" i="3"/>
  <c r="K53" i="3"/>
  <c r="K82" i="3"/>
  <c r="K174" i="3"/>
  <c r="K34" i="3"/>
  <c r="K248" i="3"/>
  <c r="K154" i="3"/>
  <c r="K142" i="3"/>
  <c r="K13" i="3"/>
  <c r="K233" i="3"/>
  <c r="K68" i="3"/>
  <c r="K295" i="3"/>
  <c r="K143" i="3"/>
  <c r="K108" i="3"/>
  <c r="K166" i="3"/>
  <c r="K245" i="3"/>
  <c r="K171" i="3"/>
  <c r="K261" i="3"/>
  <c r="K64" i="3"/>
  <c r="K282" i="3"/>
  <c r="K104" i="3"/>
  <c r="K105" i="3"/>
  <c r="K232" i="3"/>
  <c r="K144" i="3"/>
  <c r="K134" i="3"/>
  <c r="K197" i="3"/>
  <c r="K69" i="3"/>
  <c r="K235" i="3"/>
  <c r="K118" i="3"/>
  <c r="K54" i="3"/>
  <c r="K35" i="3"/>
  <c r="K296" i="3"/>
  <c r="K47" i="3"/>
  <c r="K36" i="3"/>
  <c r="K178" i="3"/>
  <c r="K145" i="3"/>
  <c r="K191" i="3"/>
  <c r="K42" i="3"/>
  <c r="K167" i="3"/>
  <c r="K276" i="3"/>
  <c r="K55" i="3"/>
  <c r="K274" i="3"/>
  <c r="K246" i="3"/>
  <c r="K175" i="3"/>
  <c r="K110" i="3"/>
  <c r="K43" i="3"/>
  <c r="K237" i="3"/>
  <c r="K195" i="3"/>
  <c r="K266" i="3"/>
  <c r="K37" i="3"/>
  <c r="K204" i="3"/>
  <c r="K297" i="3"/>
  <c r="K119" i="3"/>
  <c r="K24" i="3"/>
  <c r="K155" i="3"/>
  <c r="K25" i="3"/>
  <c r="K8" i="3"/>
  <c r="K168" i="3"/>
  <c r="K26" i="3"/>
  <c r="K128" i="3"/>
  <c r="K85" i="3"/>
  <c r="K44" i="3"/>
  <c r="K267" i="3"/>
  <c r="K120" i="3"/>
  <c r="K92" i="3"/>
  <c r="K56" i="3"/>
  <c r="K149" i="3"/>
  <c r="K268" i="3"/>
  <c r="K176" i="3"/>
  <c r="K262" i="3"/>
  <c r="K65" i="3"/>
  <c r="K169" i="3"/>
  <c r="K27" i="3"/>
  <c r="K226" i="3"/>
  <c r="K255" i="3"/>
  <c r="K38" i="3"/>
  <c r="K277" i="3"/>
  <c r="K147" i="3"/>
  <c r="K15" i="8" l="1" a="1"/>
  <c r="K15" i="8" s="1"/>
  <c r="K55" i="8" a="1"/>
  <c r="K55" i="8" s="1"/>
  <c r="K12" i="8" a="1"/>
  <c r="K12" i="8" s="1"/>
  <c r="C75" i="8" a="1"/>
  <c r="C75" i="8" s="1"/>
  <c r="B75" i="10" a="1"/>
  <c r="B75" i="10" s="1"/>
  <c r="K67" i="8" a="1"/>
  <c r="K67" i="8" s="1"/>
  <c r="K129" i="8" l="1" a="1"/>
  <c r="K129" i="8" s="1"/>
  <c r="K164" i="8" a="1"/>
  <c r="K164" i="8" s="1"/>
  <c r="B252" i="8" a="1"/>
  <c r="B252" i="8" s="1"/>
  <c r="G168" i="8" s="1" a="1"/>
  <c r="G168" i="8" s="1"/>
  <c r="K141" i="8" l="1" a="1"/>
  <c r="K141" i="8" s="1"/>
  <c r="K170" i="8" a="1"/>
  <c r="K170" i="8" s="1"/>
  <c r="K140" i="8" a="1"/>
  <c r="K140" i="8" s="1"/>
  <c r="K265" i="8" a="1"/>
  <c r="K265" i="8" s="1"/>
  <c r="K125" i="8" a="1"/>
  <c r="K125" i="8" s="1"/>
  <c r="K266" i="8" a="1"/>
  <c r="K266" i="8" s="1"/>
  <c r="K247" i="8" a="1"/>
  <c r="K247" i="8" s="1"/>
  <c r="K260" i="8" l="1" a="1"/>
  <c r="K260" i="8" s="1"/>
  <c r="K205" i="8" a="1"/>
  <c r="K205" i="8" s="1"/>
  <c r="K225" i="8" a="1"/>
  <c r="K225" i="8" s="1"/>
  <c r="K202" i="8" a="1"/>
  <c r="K202" i="8" s="1"/>
  <c r="G220" i="10" a="1"/>
  <c r="G220" i="10" s="1"/>
  <c r="G107" i="10" a="1"/>
  <c r="G107" i="10" s="1"/>
  <c r="G279" i="10" a="1"/>
  <c r="G279" i="10" s="1"/>
  <c r="G108" i="10" a="1"/>
  <c r="G108" i="10" s="1"/>
  <c r="G269" i="10" a="1"/>
  <c r="G269" i="10" s="1"/>
  <c r="G115" i="10" a="1"/>
  <c r="G115" i="10" s="1"/>
  <c r="G169" i="10" a="1"/>
  <c r="G169" i="10" s="1"/>
  <c r="G168" i="10" a="1"/>
  <c r="G168" i="10" s="1"/>
  <c r="G245" i="10" a="1"/>
  <c r="G245" i="10" s="1"/>
  <c r="G162" i="10" a="1"/>
  <c r="G162" i="10" s="1"/>
  <c r="G134" i="10" a="1"/>
  <c r="G134" i="10" s="1"/>
  <c r="G118" i="10" a="1"/>
  <c r="G118" i="10" s="1"/>
  <c r="G89" i="10" a="1"/>
  <c r="G89" i="10" s="1"/>
  <c r="L18" i="8" l="1" a="1"/>
  <c r="L18" i="8" s="1"/>
  <c r="L158" i="8" a="1"/>
  <c r="L158" i="8" s="1"/>
  <c r="L14" i="8" a="1"/>
  <c r="L14" i="8" s="1"/>
  <c r="L66" i="8" a="1"/>
  <c r="L66" i="8" s="1"/>
  <c r="L236" i="8" a="1"/>
  <c r="L236" i="8" s="1"/>
  <c r="L95" i="8" a="1"/>
  <c r="L95" i="8" s="1"/>
  <c r="L30" i="8" a="1"/>
  <c r="L30" i="8" s="1"/>
  <c r="L49" i="8" a="1"/>
  <c r="L49" i="8" s="1"/>
  <c r="L108" i="8" a="1"/>
  <c r="L108" i="8" s="1"/>
  <c r="L2" i="8" a="1"/>
  <c r="L2" i="8" s="1"/>
  <c r="L133" i="8" a="1"/>
  <c r="L133" i="8" s="1"/>
  <c r="L5" i="8" a="1"/>
  <c r="L5" i="8" s="1"/>
  <c r="L130" i="8" a="1"/>
  <c r="L130" i="8" s="1"/>
  <c r="L135" i="8" a="1"/>
  <c r="L135" i="8" s="1"/>
  <c r="L264" i="8" a="1"/>
  <c r="L264" i="8" s="1"/>
  <c r="L103" i="8" a="1"/>
  <c r="L103"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Suci Eka Azhari</author>
  </authors>
  <commentList>
    <comment ref="G169" authorId="0" shapeId="0" xr:uid="{9BFFDC1B-8EDE-4182-9FE8-342BE6B23C61}">
      <text>
        <r>
          <rPr>
            <b/>
            <sz val="9"/>
            <color indexed="81"/>
            <rFont val="Tahoma"/>
            <family val="2"/>
          </rPr>
          <t>Suci Eka Azhari:</t>
        </r>
        <r>
          <rPr>
            <sz val="9"/>
            <color indexed="81"/>
            <rFont val="Tahoma"/>
            <family val="2"/>
          </rPr>
          <t xml:space="preserve">
=MEDIAN(
  FILTER(Produksi!G2:G301;
    (B2:B301=Produksi!B160) *
    (C2:C301=Produksi!C160) *
    (D2:D301=Produksi!D160) *
    (E2:E301=Produksi!E160)
  )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Suci Eka Azhari</author>
  </authors>
  <commentList>
    <comment ref="G276" authorId="0" shapeId="0" xr:uid="{C9449534-B446-4DBD-B026-925107970237}">
      <text>
        <r>
          <rPr>
            <b/>
            <sz val="9"/>
            <color indexed="81"/>
            <rFont val="Tahoma"/>
            <family val="2"/>
          </rPr>
          <t>Suci Eka Azhari:</t>
        </r>
        <r>
          <rPr>
            <sz val="9"/>
            <color indexed="81"/>
            <rFont val="Tahoma"/>
            <family val="2"/>
          </rPr>
          <t xml:space="preserve">
=MEDIAN(
  FILTER(Produksi!G2:G301;
    (B2:B301=Produksi!B160) *
    (C2:C301=Produksi!C160) *
    (D2:D301=Produksi!D160) *
    (E2:E301=Produksi!E160)
  )
)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<sst xmlns="http://schemas.openxmlformats.org/spreadsheetml/2006/main" count="5944" uniqueCount="258">
  <si>
    <t>TECHNICAL TEST DATA ANALYST</t>
  </si>
  <si>
    <t>Durasi pengerjaan: 96 Jam</t>
  </si>
  <si>
    <t>C. Pivot Table</t>
  </si>
  <si>
    <t>D. Dashboard</t>
  </si>
  <si>
    <t>1. Coal production (daily, weekly, monthly).</t>
  </si>
  <si>
    <t>2. OB removal trend.</t>
  </si>
  <si>
    <t>3. DT performance (fuel ratio, ritase, cycle time).</t>
  </si>
  <si>
    <t>4. Equipment productivity leaderboard.</t>
  </si>
  <si>
    <t>Tulis insight ringkas (5–8 kalimat) dari dashboard.</t>
  </si>
  <si>
    <t>Tanggal</t>
  </si>
  <si>
    <t>Pit</t>
  </si>
  <si>
    <t>Seam</t>
  </si>
  <si>
    <t>Excavator</t>
  </si>
  <si>
    <t>Shift</t>
  </si>
  <si>
    <t>OB_Volume</t>
  </si>
  <si>
    <t>Coal_Volume</t>
  </si>
  <si>
    <t>Working_Hours</t>
  </si>
  <si>
    <t>Delay_Hours</t>
  </si>
  <si>
    <t>Productive_Hours</t>
  </si>
  <si>
    <t>2024-02-12</t>
  </si>
  <si>
    <t>Pit C</t>
  </si>
  <si>
    <t>Seam 1</t>
  </si>
  <si>
    <t>EX2500</t>
  </si>
  <si>
    <t>Night</t>
  </si>
  <si>
    <t>2024-01-07</t>
  </si>
  <si>
    <t>Seam 2</t>
  </si>
  <si>
    <t>EX1200</t>
  </si>
  <si>
    <t>Day</t>
  </si>
  <si>
    <t>2024-02-14</t>
  </si>
  <si>
    <t>Pit A</t>
  </si>
  <si>
    <t>Seam 3</t>
  </si>
  <si>
    <t>EX1100</t>
  </si>
  <si>
    <t>Evening</t>
  </si>
  <si>
    <t>2024-02-27</t>
  </si>
  <si>
    <t>Pit B</t>
  </si>
  <si>
    <t>2024-02-17</t>
  </si>
  <si>
    <t>2024-01-03</t>
  </si>
  <si>
    <t>2024-03-16</t>
  </si>
  <si>
    <t>2024-03-09</t>
  </si>
  <si>
    <t>2024-01-02</t>
  </si>
  <si>
    <t>2024-01-24</t>
  </si>
  <si>
    <t>2024-02-03</t>
  </si>
  <si>
    <t>2024-01-14</t>
  </si>
  <si>
    <t>2024-03-28</t>
  </si>
  <si>
    <t>2024-03-17</t>
  </si>
  <si>
    <t>2024-02-04</t>
  </si>
  <si>
    <t>2024-01-15</t>
  </si>
  <si>
    <t>2024-02-26</t>
  </si>
  <si>
    <t>2024-03-22</t>
  </si>
  <si>
    <t>2024-01-28</t>
  </si>
  <si>
    <t>2024-03-02</t>
  </si>
  <si>
    <t>2024-02-06</t>
  </si>
  <si>
    <t>2024/13/40</t>
  </si>
  <si>
    <t>2024-01-22</t>
  </si>
  <si>
    <t>2024-01-04</t>
  </si>
  <si>
    <t>2024-03-23</t>
  </si>
  <si>
    <t>2024-02-16</t>
  </si>
  <si>
    <t>2024-01-17</t>
  </si>
  <si>
    <t>2024-01-31</t>
  </si>
  <si>
    <t>2024-01-12</t>
  </si>
  <si>
    <t>2024-03-11</t>
  </si>
  <si>
    <t>2024-02-28</t>
  </si>
  <si>
    <t>2024-03-07</t>
  </si>
  <si>
    <t>2024-03-30</t>
  </si>
  <si>
    <t>2024-02-05</t>
  </si>
  <si>
    <t>2024-02-10</t>
  </si>
  <si>
    <t>2024-02-23</t>
  </si>
  <si>
    <t>2024-02-18</t>
  </si>
  <si>
    <t>2024-03-04</t>
  </si>
  <si>
    <t>2024-03-27</t>
  </si>
  <si>
    <t>2024-01-16</t>
  </si>
  <si>
    <t>2024-02-29</t>
  </si>
  <si>
    <t>2024-01-25</t>
  </si>
  <si>
    <t>2024-03-10</t>
  </si>
  <si>
    <t>2024-03-05</t>
  </si>
  <si>
    <t>2024-03-31</t>
  </si>
  <si>
    <t>2024-02-25</t>
  </si>
  <si>
    <t>2024-03-18</t>
  </si>
  <si>
    <t>2024-01-26</t>
  </si>
  <si>
    <t>2024-03-14</t>
  </si>
  <si>
    <t>2024-01-18</t>
  </si>
  <si>
    <t>2024-01-19</t>
  </si>
  <si>
    <t>2024-03-06</t>
  </si>
  <si>
    <t>2024-03-01</t>
  </si>
  <si>
    <t>2024-01-27</t>
  </si>
  <si>
    <t>2024-01-09</t>
  </si>
  <si>
    <t>2024-01-30</t>
  </si>
  <si>
    <t>2024-01-10</t>
  </si>
  <si>
    <t>2024-02-09</t>
  </si>
  <si>
    <t>2024-03-29</t>
  </si>
  <si>
    <t>2024-02-11</t>
  </si>
  <si>
    <t>2024-03-24</t>
  </si>
  <si>
    <t>2024-01-01</t>
  </si>
  <si>
    <t>2024-01-29</t>
  </si>
  <si>
    <t>2024-02-19</t>
  </si>
  <si>
    <t>2024-01-20</t>
  </si>
  <si>
    <t>2024-01-05</t>
  </si>
  <si>
    <t>2024-02-22</t>
  </si>
  <si>
    <t>2024-03-19</t>
  </si>
  <si>
    <t>2024-03-20</t>
  </si>
  <si>
    <t>2024-03-13</t>
  </si>
  <si>
    <t>2024-03-12</t>
  </si>
  <si>
    <t>2024-01-11</t>
  </si>
  <si>
    <t>Dump_Truck</t>
  </si>
  <si>
    <t>Distance_km</t>
  </si>
  <si>
    <t>Cycle_Time_min</t>
  </si>
  <si>
    <t>Ritase</t>
  </si>
  <si>
    <t>Fuel_Usage_L</t>
  </si>
  <si>
    <t>DT01</t>
  </si>
  <si>
    <t>DT05</t>
  </si>
  <si>
    <t>2024-02-08</t>
  </si>
  <si>
    <t>DT02</t>
  </si>
  <si>
    <t>2024-02-02</t>
  </si>
  <si>
    <t>DT04</t>
  </si>
  <si>
    <t>2024-01-08</t>
  </si>
  <si>
    <t>DT03</t>
  </si>
  <si>
    <t>2024-02-24</t>
  </si>
  <si>
    <t>2024-02-13</t>
  </si>
  <si>
    <t>2024-03-25</t>
  </si>
  <si>
    <t>2024-01-21</t>
  </si>
  <si>
    <t>2024-02-01</t>
  </si>
  <si>
    <t>2024-03-21</t>
  </si>
  <si>
    <t>2024-03-03</t>
  </si>
  <si>
    <t>2024-02-15</t>
  </si>
  <si>
    <t>2024-02-21</t>
  </si>
  <si>
    <t>2024-03-26</t>
  </si>
  <si>
    <t>2024-01-23</t>
  </si>
  <si>
    <t>2024-02-20</t>
  </si>
  <si>
    <t>2024-03-15</t>
  </si>
  <si>
    <t>2024-02-07</t>
  </si>
  <si>
    <t>Unit</t>
  </si>
  <si>
    <t>Type</t>
  </si>
  <si>
    <t>Capacity</t>
  </si>
  <si>
    <t>Fuel_Rate_L_per_Hour</t>
  </si>
  <si>
    <t>Dump Truck</t>
  </si>
  <si>
    <t>Komponen</t>
  </si>
  <si>
    <t>Bobot (%)</t>
  </si>
  <si>
    <t>Kriteria Penilaian</t>
  </si>
  <si>
    <t>Menghapus error, memperbaiki missing, validasi perhitungan jam kerja</t>
  </si>
  <si>
    <t>Ketepatan rumus, penggunaan XLOOKUP, IF, SUMIFS</t>
  </si>
  <si>
    <t>Pivot Table</t>
  </si>
  <si>
    <t>Struktur benar, perhitungan akurat, filter berfungsi</t>
  </si>
  <si>
    <t>Dashboard</t>
  </si>
  <si>
    <t>Clean, insightful, layout rapih, grafik relevan</t>
  </si>
  <si>
    <t>Analytical Insight</t>
  </si>
  <si>
    <t>Logis, berbasis data, tidak terlalu umum</t>
  </si>
  <si>
    <t>Rubrik Penilaian</t>
  </si>
  <si>
    <t>5. Pastikan seluruh kolom numerik berada dalam format angka, perbaiki baris yang berubah menjadi teks.</t>
  </si>
  <si>
    <r>
      <t>1. Identifikasi dan perbaiki format tanggal (</t>
    </r>
    <r>
      <rPr>
        <b/>
        <sz val="11"/>
        <color theme="1"/>
        <rFont val="Aptos"/>
        <family val="2"/>
      </rPr>
      <t>misal: 2024/13/40</t>
    </r>
    <r>
      <rPr>
        <sz val="11"/>
        <color theme="1"/>
        <rFont val="Aptos"/>
        <family val="2"/>
      </rPr>
      <t xml:space="preserve">). Normalisasi seluruh tanggal menjadi format </t>
    </r>
    <r>
      <rPr>
        <i/>
        <sz val="11"/>
        <color theme="1"/>
        <rFont val="Aptos"/>
        <family val="2"/>
      </rPr>
      <t>YYYY-MM-DD</t>
    </r>
    <r>
      <rPr>
        <sz val="11"/>
        <color theme="1"/>
        <rFont val="Aptos"/>
        <family val="2"/>
      </rPr>
      <t>.</t>
    </r>
  </si>
  <si>
    <r>
      <t xml:space="preserve">2. Temukan dan tangani </t>
    </r>
    <r>
      <rPr>
        <b/>
        <sz val="11"/>
        <color theme="1"/>
        <rFont val="Aptos"/>
        <family val="2"/>
      </rPr>
      <t>missing values</t>
    </r>
    <r>
      <rPr>
        <sz val="11"/>
        <color theme="1"/>
        <rFont val="Aptos"/>
        <family val="2"/>
      </rPr>
      <t xml:space="preserve"> pada seluruh kolom Produksi dan Hauling, jelaskan metode penanganan yang digunakan.</t>
    </r>
  </si>
  <si>
    <r>
      <t xml:space="preserve">3. Validasi dan koreksi nilai Shift yang salah menjadi kategori yang benar </t>
    </r>
    <r>
      <rPr>
        <i/>
        <sz val="11"/>
        <color theme="1"/>
        <rFont val="Aptos"/>
        <family val="2"/>
      </rPr>
      <t>(Day/Night)</t>
    </r>
    <r>
      <rPr>
        <sz val="11"/>
        <color theme="1"/>
        <rFont val="Aptos"/>
        <family val="2"/>
      </rPr>
      <t>.</t>
    </r>
  </si>
  <si>
    <r>
      <t xml:space="preserve">4. Deteksi dan tangani </t>
    </r>
    <r>
      <rPr>
        <b/>
        <sz val="11"/>
        <color theme="1"/>
        <rFont val="Aptos"/>
        <family val="2"/>
      </rPr>
      <t>data duplikat</t>
    </r>
    <r>
      <rPr>
        <sz val="11"/>
        <color theme="1"/>
        <rFont val="Aptos"/>
        <family val="2"/>
      </rPr>
      <t xml:space="preserve"> pada kedua sheet, jelaskan kriteria duplikasi yang digunakan.</t>
    </r>
  </si>
  <si>
    <r>
      <t xml:space="preserve">6. Identifikasi konsistensi </t>
    </r>
    <r>
      <rPr>
        <i/>
        <sz val="11"/>
        <color theme="1"/>
        <rFont val="Aptos"/>
        <family val="2"/>
      </rPr>
      <t>Working_Hours, Delay_Hours, dan Productive_Hours</t>
    </r>
    <r>
      <rPr>
        <sz val="11"/>
        <color theme="1"/>
        <rFont val="Aptos"/>
        <family val="2"/>
      </rPr>
      <t>.</t>
    </r>
  </si>
  <si>
    <t>A. Data Handling</t>
  </si>
  <si>
    <t>Data Handling</t>
  </si>
  <si>
    <r>
      <t xml:space="preserve">1. Hitung </t>
    </r>
    <r>
      <rPr>
        <b/>
        <i/>
        <sz val="11"/>
        <color theme="1"/>
        <rFont val="Aptos"/>
        <family val="2"/>
      </rPr>
      <t>Produktivitas Excavator = Coal Volume / Working Hours.</t>
    </r>
  </si>
  <si>
    <r>
      <t xml:space="preserve">2. Hitung </t>
    </r>
    <r>
      <rPr>
        <b/>
        <i/>
        <sz val="11"/>
        <color theme="1"/>
        <rFont val="Aptos"/>
        <family val="2"/>
      </rPr>
      <t>Fuel Ratio = Fuel Usage / Ritase.</t>
    </r>
  </si>
  <si>
    <r>
      <t xml:space="preserve">3. Tandai </t>
    </r>
    <r>
      <rPr>
        <b/>
        <i/>
        <sz val="11"/>
        <color theme="1"/>
        <rFont val="Aptos"/>
        <family val="2"/>
      </rPr>
      <t>Cycle Time Abnormal (&gt;10 menit)</t>
    </r>
    <r>
      <rPr>
        <sz val="11"/>
        <color theme="1"/>
        <rFont val="Aptos"/>
        <family val="2"/>
      </rPr>
      <t>.</t>
    </r>
  </si>
  <si>
    <r>
      <t xml:space="preserve">5. Validasi nilai </t>
    </r>
    <r>
      <rPr>
        <b/>
        <i/>
        <sz val="11"/>
        <color theme="1"/>
        <rFont val="Aptos"/>
        <family val="2"/>
      </rPr>
      <t>Working Hours = Productive Hours + Delay Hours</t>
    </r>
    <r>
      <rPr>
        <sz val="11"/>
        <color theme="1"/>
        <rFont val="Aptos"/>
        <family val="2"/>
      </rPr>
      <t>.</t>
    </r>
  </si>
  <si>
    <r>
      <t xml:space="preserve">4. Hitung </t>
    </r>
    <r>
      <rPr>
        <b/>
        <i/>
        <sz val="11"/>
        <color theme="1"/>
        <rFont val="Aptos"/>
        <family val="2"/>
      </rPr>
      <t>Estimated Fuel = Fuel Rate * Working Hours</t>
    </r>
    <r>
      <rPr>
        <sz val="11"/>
        <color theme="1"/>
        <rFont val="Aptos"/>
        <family val="2"/>
      </rPr>
      <t>. (</t>
    </r>
    <r>
      <rPr>
        <i/>
        <sz val="11"/>
        <color theme="1"/>
        <rFont val="Aptos"/>
        <family val="2"/>
      </rPr>
      <t>Gunakan XLOOKUP untuk menarik Fuel Rate dari data Fleet Master</t>
    </r>
    <r>
      <rPr>
        <sz val="11"/>
        <color theme="1"/>
        <rFont val="Aptos"/>
        <family val="2"/>
      </rPr>
      <t>)</t>
    </r>
  </si>
  <si>
    <t>1. Total OB &amp; Coal masing-masing Pit.</t>
  </si>
  <si>
    <t>3. Fuel Usage dari unit Dump Truck.</t>
  </si>
  <si>
    <t>2. Ritase dari unit Dump Truck.</t>
  </si>
  <si>
    <t>4. Rata-rata Cycle Time dari unit Dump Truck.</t>
  </si>
  <si>
    <t>Simpan hasil Technical Test dengan bentuk file Excel lalu kirim melalui Whatsapp.</t>
  </si>
  <si>
    <t>B. Excel Formula</t>
  </si>
  <si>
    <t>Excel Formula</t>
  </si>
  <si>
    <t>E. Analytical Insight</t>
  </si>
  <si>
    <t>Mohon kerjakan dengan jujur dan teliti, gunakan kesempatan ini sebaik dan semaksimal mungkin. 
SEMANGAT!!</t>
  </si>
  <si>
    <t>Data Analyst - PT MEGA GLOBAL ENERGY</t>
  </si>
  <si>
    <t>Link Dashboard</t>
  </si>
  <si>
    <r>
      <t xml:space="preserve">6. Identifikasi nilai dari rumus </t>
    </r>
    <r>
      <rPr>
        <b/>
        <i/>
        <sz val="11"/>
        <color theme="1"/>
        <rFont val="Aptos"/>
        <family val="2"/>
      </rPr>
      <t>Rasio Stripping = OB_Volume/Coal_Volume</t>
    </r>
    <r>
      <rPr>
        <sz val="11"/>
        <color theme="1"/>
        <rFont val="Aptos"/>
        <family val="2"/>
      </rPr>
      <t xml:space="preserve">, serta hitung rata-rata nya. 
</t>
    </r>
    <r>
      <rPr>
        <i/>
        <sz val="11"/>
        <color theme="1"/>
        <rFont val="Aptos"/>
        <family val="2"/>
      </rPr>
      <t>Contoh: jika mendapat hasil maka 2.5 BCM (OB) perlu dipindahkan untuk mendapat 1 Ton Batu Bara.</t>
    </r>
  </si>
  <si>
    <r>
      <t>Identifikasi dan perbaiki format tanggal (</t>
    </r>
    <r>
      <rPr>
        <b/>
        <sz val="11"/>
        <color theme="1"/>
        <rFont val="Aptos"/>
        <family val="2"/>
      </rPr>
      <t>misal: 2024/13/40</t>
    </r>
    <r>
      <rPr>
        <sz val="11"/>
        <color theme="1"/>
        <rFont val="Aptos"/>
        <family val="2"/>
      </rPr>
      <t xml:space="preserve">). Normalisasi seluruh tanggal menjadi format </t>
    </r>
    <r>
      <rPr>
        <i/>
        <sz val="11"/>
        <color theme="1"/>
        <rFont val="Aptos"/>
        <family val="2"/>
      </rPr>
      <t>YYYY-MM-DD</t>
    </r>
    <r>
      <rPr>
        <sz val="11"/>
        <color theme="1"/>
        <rFont val="Aptos"/>
        <family val="2"/>
      </rPr>
      <t>.</t>
    </r>
  </si>
  <si>
    <r>
      <t xml:space="preserve">Temukan dan tangani </t>
    </r>
    <r>
      <rPr>
        <b/>
        <sz val="11"/>
        <color theme="1"/>
        <rFont val="Aptos"/>
        <family val="2"/>
      </rPr>
      <t>missing values</t>
    </r>
    <r>
      <rPr>
        <sz val="11"/>
        <color theme="1"/>
        <rFont val="Aptos"/>
        <family val="2"/>
      </rPr>
      <t xml:space="preserve"> pada seluruh kolom Produksi dan Hauling, jelaskan metode penanganan yang digunakan.</t>
    </r>
  </si>
  <si>
    <r>
      <t xml:space="preserve">Validasi dan koreksi nilai Shift yang salah menjadi kategori yang benar </t>
    </r>
    <r>
      <rPr>
        <i/>
        <sz val="11"/>
        <color theme="1"/>
        <rFont val="Aptos"/>
        <family val="2"/>
      </rPr>
      <t>(Day/Night)</t>
    </r>
    <r>
      <rPr>
        <sz val="11"/>
        <color theme="1"/>
        <rFont val="Aptos"/>
        <family val="2"/>
      </rPr>
      <t>.</t>
    </r>
  </si>
  <si>
    <r>
      <t xml:space="preserve">Deteksi dan tangani </t>
    </r>
    <r>
      <rPr>
        <b/>
        <sz val="11"/>
        <color theme="1"/>
        <rFont val="Aptos"/>
        <family val="2"/>
      </rPr>
      <t>data duplikat</t>
    </r>
    <r>
      <rPr>
        <sz val="11"/>
        <color theme="1"/>
        <rFont val="Aptos"/>
        <family val="2"/>
      </rPr>
      <t xml:space="preserve"> pada kedua sheet, jelaskan kriteria duplikasi yang digunakan.</t>
    </r>
  </si>
  <si>
    <t>Pastikan seluruh kolom numerik berada dalam format angka, perbaiki baris yang berubah menjadi teks.</t>
  </si>
  <si>
    <r>
      <t xml:space="preserve">Identifikasi konsistensi </t>
    </r>
    <r>
      <rPr>
        <i/>
        <sz val="11"/>
        <color theme="1"/>
        <rFont val="Aptos"/>
        <family val="2"/>
      </rPr>
      <t>Working_Hours, Delay_Hours, dan Productive_Hours</t>
    </r>
    <r>
      <rPr>
        <sz val="11"/>
        <color theme="1"/>
        <rFont val="Aptos"/>
        <family val="2"/>
      </rPr>
      <t>.</t>
    </r>
  </si>
  <si>
    <t>a.</t>
  </si>
  <si>
    <t>1.</t>
  </si>
  <si>
    <t>2.</t>
  </si>
  <si>
    <t>3.</t>
  </si>
  <si>
    <t>4.</t>
  </si>
  <si>
    <t>5.</t>
  </si>
  <si>
    <t>6.</t>
  </si>
  <si>
    <t>b.</t>
  </si>
  <si>
    <t>c.</t>
  </si>
  <si>
    <t>Normalisasi_Tanggal</t>
  </si>
  <si>
    <t>Deteksi_Tanggal</t>
  </si>
  <si>
    <t>Identifikasi dengan cara menambah kolom "Deteksi_Tanggal" pada sheet "Produksi" untuk mengidentifikasi tanggal "Valid" atau "Invalid".
Tanggal invalid ditandai dengan warna kuning.</t>
  </si>
  <si>
    <t>Menambahkan kolom "Normalisasi_Tanggal" untuk memperbaiki tanggal tidak valid dengan mencocokkan pola data yang identik dari tanggal yang valid.</t>
  </si>
  <si>
    <t>d.</t>
  </si>
  <si>
    <t>e.</t>
  </si>
  <si>
    <t>Poin a-c juga dilakukan pada data Hauling, namun untuk poin d menggunakan median berdasarkan pendekatan kombinasi jenis Dump_Truck.</t>
  </si>
  <si>
    <t>Jika tidak ditemukan tanggal valid, maka digunakan pendekatan berdasarkan kombinasi Pit, Seam, Excavator, dan Shift yang sama. Apabila terdapat beberapa tanggal valid, maka digunakan nilai median sebagai representasi tanggal pengganti, karena kombinasi tersebut biasanya mencerminkan aktivitas dalam satu area kerja yang berkesinambungan. Dilakukan increase short pada kolom "Normalisasi_Tanggal".</t>
  </si>
  <si>
    <t>Validasi_Shift</t>
  </si>
  <si>
    <t>Pendekatan ini mengandalkan konsistensi pola data historis untuk mengoreksi nilai yang ambigu.</t>
  </si>
  <si>
    <t>Jika tidak ditemukan baris yang cocok, maka nilai default "Night" digunakan sebagai asumsi konservatif.</t>
  </si>
  <si>
    <t>Data duplikasi merupakan data yang memiliki karakteristik atau nilai yang sama untuk masing-masing kolom dalam tanggal yang sama.</t>
  </si>
  <si>
    <t>Data duplikasi ditangani dengan cara di-drop karena bisa menyebabkan bias.</t>
  </si>
  <si>
    <t>Kolom numerik diganti format datanya menjadi number.</t>
  </si>
  <si>
    <t>Membuat sheet baru "Produksi_Filled" sebagai sheet untuk proses cleaning data "Produksi".
Kolom "Tanggal" diubah format menjadi date.</t>
  </si>
  <si>
    <t>Pada data "Produksi_Filled", untuk missing value kolom "Tanggal" menggunakan nilai yang identik dengan pola tersebut.
Missing value pada kolom Pit, Seam, dan Excavator juga menggunakan nilai yang identik dengan pola tersebut.
Sedangkan untuk missing value pada kolom OB_Volume, Coal_Volume, dan Delay Hour menggunakan pendekatan nilai identik dan median.</t>
  </si>
  <si>
    <t>Contoh: jika mendapat hasil maka 2.5 BCM (OB) perlu dipindahkan untuk mendapat 1 Ton Batu Bara.</t>
  </si>
  <si>
    <r>
      <t xml:space="preserve">Hitung </t>
    </r>
    <r>
      <rPr>
        <b/>
        <i/>
        <sz val="11"/>
        <color theme="1"/>
        <rFont val="Calibri"/>
        <family val="2"/>
        <scheme val="minor"/>
      </rPr>
      <t>Produktivitas Excavator = Coal Volume / Working Hours</t>
    </r>
    <r>
      <rPr>
        <sz val="11"/>
        <color theme="1"/>
        <rFont val="Calibri"/>
        <family val="2"/>
        <scheme val="minor"/>
      </rPr>
      <t>.</t>
    </r>
  </si>
  <si>
    <r>
      <t xml:space="preserve">Hitung </t>
    </r>
    <r>
      <rPr>
        <b/>
        <i/>
        <sz val="11"/>
        <color theme="1"/>
        <rFont val="Calibri"/>
        <family val="2"/>
        <scheme val="minor"/>
      </rPr>
      <t>Fuel Ratio = Fuel Usage / Ritase</t>
    </r>
    <r>
      <rPr>
        <sz val="11"/>
        <color theme="1"/>
        <rFont val="Calibri"/>
        <family val="2"/>
        <scheme val="minor"/>
      </rPr>
      <t>.</t>
    </r>
  </si>
  <si>
    <r>
      <t xml:space="preserve">Hitung </t>
    </r>
    <r>
      <rPr>
        <b/>
        <i/>
        <sz val="11"/>
        <color theme="1"/>
        <rFont val="Calibri"/>
        <family val="2"/>
        <scheme val="minor"/>
      </rPr>
      <t>Estimated Fuel = Fuel Rate * Working Hours</t>
    </r>
    <r>
      <rPr>
        <sz val="11"/>
        <color theme="1"/>
        <rFont val="Calibri"/>
        <family val="2"/>
        <scheme val="minor"/>
      </rPr>
      <t>. (Gunakan XLOOKUP untuk menarik Fuel Rate dari data Fleet Master)</t>
    </r>
  </si>
  <si>
    <r>
      <t xml:space="preserve">Validasi nilai </t>
    </r>
    <r>
      <rPr>
        <b/>
        <i/>
        <sz val="11"/>
        <color theme="1"/>
        <rFont val="Calibri"/>
        <family val="2"/>
        <scheme val="minor"/>
      </rPr>
      <t>Working Hours = Productive Hours + Delay Hours</t>
    </r>
    <r>
      <rPr>
        <sz val="11"/>
        <color theme="1"/>
        <rFont val="Calibri"/>
        <family val="2"/>
        <scheme val="minor"/>
      </rPr>
      <t>.</t>
    </r>
  </si>
  <si>
    <r>
      <t xml:space="preserve">Tandai </t>
    </r>
    <r>
      <rPr>
        <b/>
        <i/>
        <sz val="11"/>
        <color theme="1"/>
        <rFont val="Calibri"/>
        <family val="2"/>
        <scheme val="minor"/>
      </rPr>
      <t>Cycle Time Abnormal (&gt;10 menit)</t>
    </r>
    <r>
      <rPr>
        <sz val="11"/>
        <color theme="1"/>
        <rFont val="Calibri"/>
        <family val="2"/>
        <scheme val="minor"/>
      </rPr>
      <t>.</t>
    </r>
  </si>
  <si>
    <t>Produktivitas_Excavator</t>
  </si>
  <si>
    <r>
      <t xml:space="preserve">Hasil perhitungan </t>
    </r>
    <r>
      <rPr>
        <b/>
        <i/>
        <sz val="11"/>
        <color theme="1"/>
        <rFont val="Calibri"/>
        <family val="2"/>
        <scheme val="minor"/>
      </rPr>
      <t xml:space="preserve">Productivitas Excavator </t>
    </r>
    <r>
      <rPr>
        <sz val="11"/>
        <color theme="1"/>
        <rFont val="Calibri"/>
        <family val="2"/>
        <scheme val="minor"/>
      </rPr>
      <t>terdapat pada sheet "Produksi_Unik"</t>
    </r>
    <r>
      <rPr>
        <i/>
        <sz val="11"/>
        <color theme="1"/>
        <rFont val="Calibri"/>
        <family val="2"/>
        <scheme val="minor"/>
      </rPr>
      <t xml:space="preserve"> </t>
    </r>
    <r>
      <rPr>
        <sz val="11"/>
        <color theme="1"/>
        <rFont val="Calibri"/>
        <family val="2"/>
        <scheme val="minor"/>
      </rPr>
      <t>kolom "Productivitas_Excavator"</t>
    </r>
    <r>
      <rPr>
        <i/>
        <sz val="11"/>
        <color theme="1"/>
        <rFont val="Calibri"/>
        <family val="2"/>
        <scheme val="minor"/>
      </rPr>
      <t>.</t>
    </r>
  </si>
  <si>
    <t>Hasil penaganan duplikat data "Produksi" terdapat pada sheet "Produksi_Unik", sedangkan untuk data "Hauling" terdapat pada "Hauling_Unik.</t>
  </si>
  <si>
    <t>Pada data "Hauling_Filled", untuk missing volue kolom "Dump_Truck" menggunakan pendekatan modus pada tanggal terkait.
Missing value pada kolom "Distance_km" menggunakan pendekatan Median berdasarkan kelompok "Dump_Truck".
Missing value pada kolom "Cycle_Time_min" dan "Fuel_Usage_L" menggunakan pendekatan berdasarkan kmbinasi kolom lain yang identik dengan data lainnya.</t>
  </si>
  <si>
    <t>Fuel_Ratio</t>
  </si>
  <si>
    <r>
      <t xml:space="preserve">Hasil perhitungan </t>
    </r>
    <r>
      <rPr>
        <b/>
        <i/>
        <sz val="11"/>
        <color theme="1"/>
        <rFont val="Calibri"/>
        <family val="2"/>
        <scheme val="minor"/>
      </rPr>
      <t xml:space="preserve">Fuel Ratio </t>
    </r>
    <r>
      <rPr>
        <sz val="11"/>
        <color theme="1"/>
        <rFont val="Calibri"/>
        <family val="2"/>
        <scheme val="minor"/>
      </rPr>
      <t>terdapat pada sheet "Hauling_Unik"</t>
    </r>
    <r>
      <rPr>
        <i/>
        <sz val="11"/>
        <color theme="1"/>
        <rFont val="Calibri"/>
        <family val="2"/>
        <scheme val="minor"/>
      </rPr>
      <t xml:space="preserve"> </t>
    </r>
    <r>
      <rPr>
        <sz val="11"/>
        <color theme="1"/>
        <rFont val="Calibri"/>
        <family val="2"/>
        <scheme val="minor"/>
      </rPr>
      <t>kolom "Fuel_Ratio"</t>
    </r>
    <r>
      <rPr>
        <i/>
        <sz val="11"/>
        <color theme="1"/>
        <rFont val="Calibri"/>
        <family val="2"/>
        <scheme val="minor"/>
      </rPr>
      <t>.</t>
    </r>
  </si>
  <si>
    <t>Cycle_Time_Cat</t>
  </si>
  <si>
    <r>
      <t xml:space="preserve">Hasil identifikasi </t>
    </r>
    <r>
      <rPr>
        <b/>
        <i/>
        <sz val="11"/>
        <color theme="1"/>
        <rFont val="Calibri"/>
        <family val="2"/>
        <scheme val="minor"/>
      </rPr>
      <t>Cycle Time</t>
    </r>
    <r>
      <rPr>
        <sz val="11"/>
        <color theme="1"/>
        <rFont val="Calibri"/>
        <family val="2"/>
        <scheme val="minor"/>
      </rPr>
      <t xml:space="preserve"> terdapay pada sheet "Hauling_Unik" kolom "Cycle_Time_Cat"</t>
    </r>
  </si>
  <si>
    <t>Dari 149 data unik (non duplicate), terdapat 71 data yang termasuk kategori abnormal.</t>
  </si>
  <si>
    <t>Cycle Time yang lebih lama berarti dalam satu siklus angkut membutuhkan waktu lebih banyak, sehingga jumlah ritase per shigt/hari akan turun.</t>
  </si>
  <si>
    <t>Jika Fuel Ratio naik saat Cycle Time abnormal, maka konsumsi bahan bakar per ritasi lebih boros.</t>
  </si>
  <si>
    <t>Estimated_Fuel</t>
  </si>
  <si>
    <t>Delay_Cek</t>
  </si>
  <si>
    <t>Ketiga variabel sudah konsisten, karena "Delay_Hours" diperoleh dari rumus "Working_Hours - Productivity Hours" dan identifikasinya seperti pada kolo "Delay_Cek".</t>
  </si>
  <si>
    <t>Working_Hours_Cek</t>
  </si>
  <si>
    <r>
      <t xml:space="preserve">Hasil perhitungan </t>
    </r>
    <r>
      <rPr>
        <b/>
        <i/>
        <sz val="11"/>
        <color theme="1"/>
        <rFont val="Calibri"/>
        <family val="2"/>
        <scheme val="minor"/>
      </rPr>
      <t>Estimated Fuel</t>
    </r>
    <r>
      <rPr>
        <b/>
        <sz val="11"/>
        <color theme="1"/>
        <rFont val="Calibri"/>
        <family val="2"/>
        <scheme val="minor"/>
      </rPr>
      <t xml:space="preserve"> </t>
    </r>
    <r>
      <rPr>
        <sz val="11"/>
        <color theme="1"/>
        <rFont val="Calibri"/>
        <family val="2"/>
        <scheme val="minor"/>
      </rPr>
      <t>terdapat pada sheet "Produksi_Unik"</t>
    </r>
    <r>
      <rPr>
        <i/>
        <sz val="11"/>
        <color theme="1"/>
        <rFont val="Calibri"/>
        <family val="2"/>
        <scheme val="minor"/>
      </rPr>
      <t xml:space="preserve"> </t>
    </r>
    <r>
      <rPr>
        <sz val="11"/>
        <color theme="1"/>
        <rFont val="Calibri"/>
        <family val="2"/>
        <scheme val="minor"/>
      </rPr>
      <t>kolom "Estimated_Fuel "</t>
    </r>
    <r>
      <rPr>
        <i/>
        <sz val="11"/>
        <color theme="1"/>
        <rFont val="Calibri"/>
        <family val="2"/>
        <scheme val="minor"/>
      </rPr>
      <t>.</t>
    </r>
  </si>
  <si>
    <r>
      <t xml:space="preserve">Hasil validasi </t>
    </r>
    <r>
      <rPr>
        <b/>
        <i/>
        <sz val="11"/>
        <color theme="1"/>
        <rFont val="Calibri"/>
        <family val="2"/>
        <scheme val="minor"/>
      </rPr>
      <t>Working Hours</t>
    </r>
    <r>
      <rPr>
        <sz val="11"/>
        <color theme="1"/>
        <rFont val="Calibri"/>
        <family val="2"/>
        <scheme val="minor"/>
      </rPr>
      <t xml:space="preserve"> keseluruhannya valid, seperti pada sheet "Produksi_Unik" kolom "Working_Hours_Cek ".</t>
    </r>
  </si>
  <si>
    <t>Rasio_Stripping</t>
  </si>
  <si>
    <r>
      <t xml:space="preserve">Identifikasi nilai dari rumus </t>
    </r>
    <r>
      <rPr>
        <b/>
        <i/>
        <sz val="11"/>
        <color theme="1"/>
        <rFont val="Calibri"/>
        <family val="2"/>
        <scheme val="minor"/>
      </rPr>
      <t>Rasio Stripping = OB_Volume/Coal_Volume</t>
    </r>
    <r>
      <rPr>
        <sz val="11"/>
        <color theme="1"/>
        <rFont val="Calibri"/>
        <family val="2"/>
        <scheme val="minor"/>
      </rPr>
      <t xml:space="preserve">, serta hitung rata-rata nya. </t>
    </r>
  </si>
  <si>
    <t>Total OB &amp; Coal masing-masing Pit.</t>
  </si>
  <si>
    <t>Row Labels</t>
  </si>
  <si>
    <t>Grand Total</t>
  </si>
  <si>
    <t>Sum of OB_Volume</t>
  </si>
  <si>
    <t>Sum of Coal_Volume</t>
  </si>
  <si>
    <r>
      <t xml:space="preserve">Setelah dihitung menggunakan rumus tersebut dan di rata-rata, bahwa nilai </t>
    </r>
    <r>
      <rPr>
        <b/>
        <i/>
        <sz val="11"/>
        <color theme="1"/>
        <rFont val="Calibri"/>
        <family val="2"/>
        <scheme val="minor"/>
      </rPr>
      <t xml:space="preserve">Rasio Stripping </t>
    </r>
    <r>
      <rPr>
        <sz val="11"/>
        <color theme="1"/>
        <rFont val="Calibri"/>
        <family val="2"/>
        <scheme val="minor"/>
      </rPr>
      <t xml:space="preserve">sebesar </t>
    </r>
    <r>
      <rPr>
        <b/>
        <sz val="11"/>
        <color theme="1"/>
        <rFont val="Calibri"/>
        <family val="2"/>
        <scheme val="minor"/>
      </rPr>
      <t>4.19</t>
    </r>
    <r>
      <rPr>
        <sz val="11"/>
        <color theme="1"/>
        <rFont val="Calibri"/>
        <family val="2"/>
        <scheme val="minor"/>
      </rPr>
      <t xml:space="preserve"> maka OB perlu dipindahkan untuk mendapat 1 ton batu bara.</t>
    </r>
  </si>
  <si>
    <t xml:space="preserve">2. </t>
  </si>
  <si>
    <t>Ritase dari unit Dump Truck.</t>
  </si>
  <si>
    <t xml:space="preserve">3. </t>
  </si>
  <si>
    <t>Fuel Usage dari unit Dump Truck.</t>
  </si>
  <si>
    <t>Sum of Fuel_Usage_L</t>
  </si>
  <si>
    <t>Column Labels</t>
  </si>
  <si>
    <t>Abnormal</t>
  </si>
  <si>
    <t>Normal</t>
  </si>
  <si>
    <t>Count of Ritase</t>
  </si>
  <si>
    <t>(All)</t>
  </si>
  <si>
    <t xml:space="preserve">4. </t>
  </si>
  <si>
    <t>Rata-rata Cycle Time dari unit Dump Truck.</t>
  </si>
  <si>
    <t>Average of Cycle_Time_min</t>
  </si>
  <si>
    <t>Aktivitas tambang paling bedar terletak pada Pit A karena memiliki volume overburden dan batubara tertinggi.</t>
  </si>
  <si>
    <t>Stripping Ratio</t>
  </si>
  <si>
    <t>Apabila dilihat berdasarkan Pit, stripping ratio tertinggi terletak pada Pit B sebesar 1.53. Meskipun masih di bawah ambang batas 2.5, Pit B menunjukkan beban pengupasan relatif tinggi dibanding Pit A dan C.</t>
  </si>
  <si>
    <t>Average stripping ratio per baris data lebih besar dibandingkan ketika per Pit karena tidak mempertimbangkan bobot volume. Baris-baris dengan coal volume kecil dan rasio besar memberi pengaruh besar pada rata-rata, meskipun kontribusi volumenya kecil.</t>
  </si>
  <si>
    <t>DT02 paling aktif dengan 43 ritase, kemungkinan beban kerja tertinggi.</t>
  </si>
  <si>
    <t>DT02 mengonsumsi bahan bakar paling tinggi, selaras dengan ritase tertinggi.</t>
  </si>
  <si>
    <t>DT05 memiliki rata-rata cycle time tertinggi (10.18 menit), perlu dievaluasi karena cycle time tinggi meski ritase tidak terlalu banyak.</t>
  </si>
  <si>
    <t>Perbedaan signifikan antara cycle time normal vs abnormal bisa jadi indikator masalah operasional.</t>
  </si>
  <si>
    <t>Python</t>
  </si>
  <si>
    <t>Jupyter Notebook</t>
  </si>
  <si>
    <t>Dashboard ini memberikan gambaran menyeluruh terhadap performa operasional tambang. Produksi batubara menunjukkan fluktuasi harian yang cukup tinggi, dengan beberapa puncak signifikan yang dapat menjadi fokus analisis lebih lanjut. Aktivitas OB removal relatif stabil, namun tetap menunjukkan variasi yang bisa dikaitkan dengan kondisi operasional di lapangan. Dari sisi efisiensi, beberapa unit dump truck memiliki rasio bahan bakar yang jauh lebih baik dibanding lainnya, menunjukkan potensi benchmark untuk unit lain. Leaderboard memperlihatkan lima unit dengan kontribusi produksi tertinggi, yang dapat menjadi acuan dalam evaluasi kinerja alat berat. Visualisasi mingguan dan bulanan membantu mengidentifikasi tren jangka menengah, serta mendukung pengambilan keputusan berbasis data. Secara keseluruhan, dashboard ini efektif untuk memantau performa dan mengidentifikasi peluang peningkatan efisiensi operasional.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</si>
</sst>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x14ac:knownFonts="1">
    <font>
      <sz val="11"/>
      <color theme="1"/>
      <name val="Calibri"/>
      <family val="2"/>
      <scheme val="minor"/>
    </font>
    <font>
      <b/>
      <sz val="11"/>
      <name val="Calibri"/>
      <family val="2"/>
    </font>
    <font>
      <sz val="11"/>
      <color theme="1"/>
      <name val="Aptos"/>
      <family val="2"/>
    </font>
    <font>
      <b/>
      <sz val="11"/>
      <color theme="1"/>
      <name val="Aptos"/>
      <family val="2"/>
    </font>
    <font>
      <b/>
      <i/>
      <sz val="11"/>
      <color theme="1"/>
      <name val="Aptos"/>
      <family val="2"/>
    </font>
    <font>
      <i/>
      <sz val="11"/>
      <color theme="1"/>
      <name val="Aptos"/>
      <family val="2"/>
    </font>
    <font>
      <i/>
      <sz val="10"/>
      <color theme="1"/>
      <name val="Aptos"/>
      <family val="2"/>
    </font>
    <font>
      <i/>
      <sz val="9"/>
      <color theme="1"/>
      <name val="Aptos"/>
      <family val="2"/>
    </font>
    <font>
      <i/>
      <sz val="11"/>
      <color theme="1"/>
      <name val="Calibri"/>
      <family val="2"/>
      <scheme val="minor"/>
    </font>
    <font>
      <b/>
      <sz val="11"/>
      <color theme="1"/>
      <name val="Calibri"/>
      <family val="2"/>
      <scheme val="minor"/>
    </font>
    <font>
      <sz val="9"/>
      <color indexed="81"/>
      <name val="Tahoma"/>
      <family val="2"/>
    </font>
    <font>
      <b/>
      <sz val="9"/>
      <color indexed="81"/>
      <name val="Tahoma"/>
      <family val="2"/>
    </font>
    <font>
      <b/>
      <i/>
      <sz val="11"/>
      <color theme="1"/>
      <name val="Calibri"/>
      <family val="2"/>
      <scheme val="minor"/>
    </font>
  </fonts>
  <fills count="7">
    <fill>
      <patternFill patternType="none"/>
    </fill>
    <fill>
      <patternFill patternType="gray125"/>
    </fill>
    <fill>
      <patternFill patternType="solid">
        <fgColor theme="0" tint="-0.249977111117893"/>
        <bgColor indexed="64"/>
      </patternFill>
    </fill>
    <fill>
      <patternFill patternType="solid">
        <fgColor theme="3" tint="-0.249977111117893"/>
        <bgColor indexed="64"/>
      </patternFill>
    </fill>
    <fill>
      <patternFill patternType="solid">
        <fgColor rgb="FFFFFF00"/>
        <bgColor indexed="64"/>
      </patternFill>
    </fill>
    <fill>
      <patternFill patternType="solid">
        <fgColor theme="6" tint="0.39997558519241921"/>
        <bgColor indexed="64"/>
      </patternFill>
    </fill>
    <fill>
      <patternFill patternType="solid">
        <fgColor rgb="FFC4D79B"/>
        <bgColor indexed="64"/>
      </patternFill>
    </fill>
  </fills>
  <borders count="27">
    <border>
      <left/>
      <right/>
      <top/>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style="thin">
        <color auto="1"/>
      </right>
      <top/>
      <bottom style="hair">
        <color auto="1"/>
      </bottom>
      <diagonal/>
    </border>
    <border>
      <left style="thin">
        <color auto="1"/>
      </left>
      <right style="thin">
        <color auto="1"/>
      </right>
      <top/>
      <bottom style="hair">
        <color auto="1"/>
      </bottom>
      <diagonal/>
    </border>
    <border>
      <left style="thin">
        <color auto="1"/>
      </left>
      <right style="medium">
        <color auto="1"/>
      </right>
      <top/>
      <bottom style="hair">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dotted">
        <color auto="1"/>
      </left>
      <right/>
      <top style="dotted">
        <color auto="1"/>
      </top>
      <bottom/>
      <diagonal/>
    </border>
    <border>
      <left/>
      <right/>
      <top style="dotted">
        <color auto="1"/>
      </top>
      <bottom/>
      <diagonal/>
    </border>
    <border>
      <left/>
      <right style="dotted">
        <color auto="1"/>
      </right>
      <top style="dotted">
        <color auto="1"/>
      </top>
      <bottom/>
      <diagonal/>
    </border>
    <border>
      <left style="dotted">
        <color auto="1"/>
      </left>
      <right/>
      <top/>
      <bottom/>
      <diagonal/>
    </border>
    <border>
      <left/>
      <right style="dotted">
        <color auto="1"/>
      </right>
      <top/>
      <bottom/>
      <diagonal/>
    </border>
    <border>
      <left style="dotted">
        <color auto="1"/>
      </left>
      <right/>
      <top/>
      <bottom style="dotted">
        <color auto="1"/>
      </bottom>
      <diagonal/>
    </border>
    <border>
      <left/>
      <right/>
      <top/>
      <bottom style="dotted">
        <color auto="1"/>
      </bottom>
      <diagonal/>
    </border>
    <border>
      <left/>
      <right style="dotted">
        <color auto="1"/>
      </right>
      <top/>
      <bottom style="dotted">
        <color auto="1"/>
      </bottom>
      <diagonal/>
    </border>
  </borders>
  <cellStyleXfs count="1">
    <xf numFmtId="0" fontId="0" fillId="0" borderId="0"/>
  </cellStyleXfs>
  <cellXfs count="76">
    <xf numFmtId="0" fontId="0" fillId="0" borderId="0" xfId="0"/>
    <xf numFmtId="0" fontId="2" fillId="0" borderId="0" xfId="0" applyFont="1"/>
    <xf numFmtId="0" fontId="1" fillId="0" borderId="0" xfId="0" applyFont="1" applyAlignment="1">
      <alignment horizontal="center" vertical="top"/>
    </xf>
    <xf numFmtId="0" fontId="0" fillId="0" borderId="3" xfId="0" applyBorder="1"/>
    <xf numFmtId="0" fontId="0" fillId="0" borderId="6" xfId="0" applyBorder="1"/>
    <xf numFmtId="0" fontId="0" fillId="0" borderId="2"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vertical="center"/>
    </xf>
    <xf numFmtId="0" fontId="0" fillId="0" borderId="9" xfId="0" applyBorder="1"/>
    <xf numFmtId="0" fontId="1" fillId="0" borderId="10" xfId="0" applyFont="1" applyBorder="1" applyAlignment="1">
      <alignment horizontal="center" vertical="top"/>
    </xf>
    <xf numFmtId="0" fontId="1" fillId="0" borderId="11" xfId="0" applyFont="1" applyBorder="1" applyAlignment="1">
      <alignment horizontal="center" vertical="top"/>
    </xf>
    <xf numFmtId="0" fontId="1" fillId="0" borderId="12" xfId="0" applyFont="1" applyBorder="1" applyAlignment="1">
      <alignment horizontal="center" vertical="top"/>
    </xf>
    <xf numFmtId="0" fontId="3" fillId="0" borderId="0" xfId="0" applyFont="1"/>
    <xf numFmtId="0" fontId="4" fillId="0" borderId="0" xfId="0" applyFont="1"/>
    <xf numFmtId="0" fontId="2" fillId="2" borderId="0" xfId="0" applyFont="1" applyFill="1"/>
    <xf numFmtId="0" fontId="2" fillId="0" borderId="0" xfId="0" applyFont="1" applyAlignment="1">
      <alignment horizontal="left" vertical="center" wrapText="1"/>
    </xf>
    <xf numFmtId="0" fontId="3" fillId="0" borderId="16" xfId="0" applyFont="1" applyBorder="1" applyAlignment="1">
      <alignment horizontal="center"/>
    </xf>
    <xf numFmtId="0" fontId="8" fillId="0" borderId="7" xfId="0" applyFont="1" applyBorder="1"/>
    <xf numFmtId="0" fontId="8" fillId="0" borderId="1" xfId="0" applyFont="1" applyBorder="1"/>
    <xf numFmtId="0" fontId="8" fillId="0" borderId="4" xfId="0" applyFont="1" applyBorder="1"/>
    <xf numFmtId="0" fontId="2" fillId="3" borderId="0" xfId="0" applyFont="1" applyFill="1"/>
    <xf numFmtId="0" fontId="6" fillId="0" borderId="0" xfId="0" applyFont="1" applyAlignment="1">
      <alignment horizontal="right"/>
    </xf>
    <xf numFmtId="0" fontId="0" fillId="4" borderId="0" xfId="0" applyFill="1"/>
    <xf numFmtId="0" fontId="0" fillId="0" borderId="0" xfId="0" applyAlignment="1">
      <alignment horizontal="center"/>
    </xf>
    <xf numFmtId="0" fontId="3" fillId="0" borderId="0" xfId="0" applyFont="1" applyAlignment="1">
      <alignment horizontal="center"/>
    </xf>
    <xf numFmtId="164" fontId="0" fillId="0" borderId="0" xfId="0" applyNumberFormat="1"/>
    <xf numFmtId="164" fontId="0" fillId="4" borderId="0" xfId="0" applyNumberFormat="1" applyFill="1"/>
    <xf numFmtId="1" fontId="0" fillId="4" borderId="0" xfId="0" applyNumberFormat="1" applyFill="1"/>
    <xf numFmtId="2" fontId="0" fillId="4" borderId="0" xfId="0" applyNumberFormat="1" applyFill="1"/>
    <xf numFmtId="1" fontId="0" fillId="0" borderId="0" xfId="0" applyNumberFormat="1"/>
    <xf numFmtId="2" fontId="0" fillId="0" borderId="0" xfId="0" applyNumberFormat="1"/>
    <xf numFmtId="0" fontId="1" fillId="0" borderId="0" xfId="0" applyFont="1" applyAlignment="1">
      <alignment horizontal="left" vertical="top"/>
    </xf>
    <xf numFmtId="0" fontId="9" fillId="4" borderId="0" xfId="0" applyFont="1" applyFill="1"/>
    <xf numFmtId="0" fontId="2" fillId="0" borderId="0" xfId="0" applyFont="1" applyAlignment="1">
      <alignment horizontal="left"/>
    </xf>
    <xf numFmtId="0" fontId="2" fillId="0" borderId="0" xfId="0" applyFont="1" applyAlignment="1">
      <alignment wrapText="1"/>
    </xf>
    <xf numFmtId="0" fontId="0" fillId="0" borderId="0" xfId="0" applyAlignment="1">
      <alignment wrapText="1"/>
    </xf>
    <xf numFmtId="0" fontId="0" fillId="0" borderId="0" xfId="0" quotePrefix="1" applyAlignment="1">
      <alignment horizontal="center"/>
    </xf>
    <xf numFmtId="0" fontId="0" fillId="0" borderId="0" xfId="0" applyAlignment="1">
      <alignment horizontal="left"/>
    </xf>
    <xf numFmtId="0" fontId="0" fillId="0" borderId="0" xfId="0" applyAlignment="1">
      <alignment horizontal="left" vertical="top"/>
    </xf>
    <xf numFmtId="0" fontId="2" fillId="0" borderId="0" xfId="0" applyFont="1" applyAlignment="1">
      <alignment horizontal="left" vertical="top"/>
    </xf>
    <xf numFmtId="0" fontId="2" fillId="0" borderId="0" xfId="0" quotePrefix="1" applyFont="1" applyAlignment="1">
      <alignment horizontal="left" vertical="top"/>
    </xf>
    <xf numFmtId="0" fontId="2" fillId="0" borderId="0" xfId="0" quotePrefix="1" applyFont="1"/>
    <xf numFmtId="0" fontId="0" fillId="0" borderId="0" xfId="0" pivotButton="1"/>
    <xf numFmtId="3" fontId="0" fillId="0" borderId="0" xfId="0" applyNumberFormat="1"/>
    <xf numFmtId="0" fontId="9" fillId="0" borderId="0" xfId="0" applyFont="1"/>
    <xf numFmtId="4" fontId="0" fillId="0" borderId="0" xfId="0" applyNumberFormat="1"/>
    <xf numFmtId="0" fontId="0" fillId="0" borderId="0" xfId="0" applyAlignment="1">
      <alignment vertical="top"/>
    </xf>
    <xf numFmtId="0" fontId="4" fillId="0" borderId="0" xfId="0" applyFont="1" applyAlignment="1">
      <alignment horizontal="left"/>
    </xf>
    <xf numFmtId="2" fontId="9" fillId="4" borderId="0" xfId="0" applyNumberFormat="1" applyFont="1" applyFill="1" applyAlignment="1">
      <alignment horizont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2" fillId="0" borderId="0" xfId="0" applyFont="1" applyAlignment="1">
      <alignment horizontal="left" vertical="center" wrapText="1"/>
    </xf>
    <xf numFmtId="0" fontId="7" fillId="0" borderId="17" xfId="0" applyFont="1" applyBorder="1" applyAlignment="1">
      <alignment horizontal="center" vertical="center"/>
    </xf>
    <xf numFmtId="0" fontId="7" fillId="0" borderId="18" xfId="0" applyFont="1" applyBorder="1" applyAlignment="1">
      <alignment horizontal="center" vertical="center"/>
    </xf>
    <xf numFmtId="0" fontId="4" fillId="0" borderId="19" xfId="0" applyFont="1" applyBorder="1" applyAlignment="1">
      <alignment horizontal="center" vertical="center" wrapText="1"/>
    </xf>
    <xf numFmtId="0" fontId="4" fillId="0" borderId="20" xfId="0" applyFont="1" applyBorder="1" applyAlignment="1">
      <alignment horizontal="center" vertical="center"/>
    </xf>
    <xf numFmtId="0" fontId="4" fillId="0" borderId="21" xfId="0" applyFont="1" applyBorder="1" applyAlignment="1">
      <alignment horizontal="center" vertical="center"/>
    </xf>
    <xf numFmtId="0" fontId="4" fillId="0" borderId="22" xfId="0" applyFont="1" applyBorder="1" applyAlignment="1">
      <alignment horizontal="center" vertical="center"/>
    </xf>
    <xf numFmtId="0" fontId="4" fillId="0" borderId="0" xfId="0" applyFont="1" applyAlignment="1">
      <alignment horizontal="center" vertical="center"/>
    </xf>
    <xf numFmtId="0" fontId="4"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0" fillId="0" borderId="0" xfId="0" applyAlignment="1">
      <alignment horizontal="left" wrapText="1"/>
    </xf>
    <xf numFmtId="0" fontId="0" fillId="0" borderId="0" xfId="0" applyAlignment="1">
      <alignment horizontal="left"/>
    </xf>
    <xf numFmtId="0" fontId="4" fillId="5" borderId="0" xfId="0" applyFont="1" applyFill="1" applyAlignment="1">
      <alignment horizontal="left"/>
    </xf>
    <xf numFmtId="0" fontId="2" fillId="0" borderId="0" xfId="0" applyFont="1" applyAlignment="1">
      <alignment horizontal="left"/>
    </xf>
    <xf numFmtId="0" fontId="4" fillId="6" borderId="0" xfId="0" applyFont="1" applyFill="1" applyAlignment="1">
      <alignment horizontal="left"/>
    </xf>
    <xf numFmtId="0" fontId="0" fillId="0" borderId="0" xfId="0" quotePrefix="1" applyAlignment="1">
      <alignment horizontal="left" vertical="top"/>
    </xf>
    <xf numFmtId="0" fontId="3" fillId="0" borderId="0" xfId="0" applyFont="1" applyAlignment="1">
      <alignment horizontal="center"/>
    </xf>
    <xf numFmtId="0" fontId="0" fillId="0" borderId="0" xfId="0" applyAlignment="1">
      <alignment horizontal="center"/>
    </xf>
    <xf numFmtId="0" fontId="0" fillId="0" borderId="0" xfId="0" quotePrefix="1" applyAlignment="1">
      <alignment horizontal="center"/>
    </xf>
    <xf numFmtId="0" fontId="2" fillId="0" borderId="0" xfId="0" quotePrefix="1" applyFont="1" applyAlignment="1">
      <alignment horizontal="left" vertical="top"/>
    </xf>
    <xf numFmtId="0" fontId="0" fillId="0" borderId="0" xfId="0" applyAlignment="1">
      <alignment horizontal="left" vertical="top"/>
    </xf>
    <xf numFmtId="0" fontId="2" fillId="0" borderId="0" xfId="0" quotePrefix="1" applyFont="1" applyAlignment="1">
      <alignment horizontal="left" vertical="top" wrapText="1"/>
    </xf>
  </cellXfs>
  <cellStyles count="1">
    <cellStyle name="Normal" xfId="0" builtinId="0"/>
  </cellStyles>
  <dxfs count="3">
    <dxf>
      <numFmt numFmtId="4" formatCode="#,##0.00"/>
    </dxf>
    <dxf>
      <numFmt numFmtId="3" formatCode="#,##0"/>
    </dxf>
    <dxf>
      <numFmt numFmtId="3" formatCode="#,##0"/>
    </dxf>
  </dxfs>
  <tableStyles count="0" defaultTableStyle="TableStyleMedium9" defaultPivotStyle="PivotStyleLight16"/>
  <colors>
    <mruColors>
      <color rgb="FFC4D7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ci Eka Azhari" refreshedDate="46008.459546064812" createdVersion="8" refreshedVersion="8" minRefreshableVersion="3" recordCount="149" xr:uid="{73CFAABD-D2DF-4646-B8D9-74CE1F8F7B90}">
  <cacheSource type="worksheet">
    <worksheetSource ref="A1:Q150" sheet="Produksi_Unik"/>
  </cacheSource>
  <cacheFields count="17">
    <cacheField name="Tanggal" numFmtId="0">
      <sharedItems containsBlank="1"/>
    </cacheField>
    <cacheField name="Pit" numFmtId="0">
      <sharedItems count="3">
        <s v="Pit C"/>
        <s v="Pit A"/>
        <s v="Pit B"/>
      </sharedItems>
    </cacheField>
    <cacheField name="Seam" numFmtId="0">
      <sharedItems/>
    </cacheField>
    <cacheField name="Excavator" numFmtId="0">
      <sharedItems/>
    </cacheField>
    <cacheField name="Shift" numFmtId="0">
      <sharedItems/>
    </cacheField>
    <cacheField name="OB_Volume" numFmtId="1">
      <sharedItems containsSemiMixedTypes="0" containsString="0" containsNumber="1" containsInteger="1" minValue="173" maxValue="8978"/>
    </cacheField>
    <cacheField name="Coal_Volume" numFmtId="1">
      <sharedItems containsSemiMixedTypes="0" containsString="0" containsNumber="1" containsInteger="1" minValue="68" maxValue="6929"/>
    </cacheField>
    <cacheField name="Working_Hours" numFmtId="2">
      <sharedItems containsSemiMixedTypes="0" containsString="0" containsNumber="1" minValue="4" maxValue="9.9600000000000009"/>
    </cacheField>
    <cacheField name="Delay_Hours" numFmtId="2">
      <sharedItems containsSemiMixedTypes="0" containsString="0" containsNumber="1" minValue="0.02" maxValue="2"/>
    </cacheField>
    <cacheField name="Productive_Hours" numFmtId="2">
      <sharedItems containsSemiMixedTypes="0" containsString="0" containsNumber="1" minValue="2.15" maxValue="9.64"/>
    </cacheField>
    <cacheField name="Normalisasi_Tanggal" numFmtId="0">
      <sharedItems count="71">
        <s v="2024-01-01"/>
        <s v="2024-01-02"/>
        <s v="2024-01-03"/>
        <s v="2024-01-04"/>
        <s v="2024-01-05"/>
        <s v="2024-01-07"/>
        <s v="2024-01-09"/>
        <s v="2024-01-10"/>
        <s v="2024-01-11"/>
        <s v="2024-01-12"/>
        <s v="2024-01-14"/>
        <s v="2024-01-15"/>
        <s v="2024-01-16"/>
        <s v="2024-01-17"/>
        <s v="2024-01-18"/>
        <s v="2024-01-19"/>
        <s v="2024-01-20"/>
        <s v="2024-01-22"/>
        <s v="2024-01-24"/>
        <s v="2024-01-25"/>
        <s v="2024-01-26"/>
        <s v="2024-01-27"/>
        <s v="2024-01-28"/>
        <s v="2024-01-29"/>
        <s v="2024-01-30"/>
        <s v="2024-01-31"/>
        <s v="2024-02-03"/>
        <s v="2024-02-04"/>
        <s v="2024-02-05"/>
        <s v="2024-02-06"/>
        <s v="2024-02-09"/>
        <s v="2024-02-10"/>
        <s v="2024-02-11"/>
        <s v="2024-02-12"/>
        <s v="2024-02-14"/>
        <s v="2024-02-16"/>
        <s v="2024-02-17"/>
        <s v="2024-02-18"/>
        <s v="2024-02-19"/>
        <s v="2024-02-22"/>
        <s v="2024-02-23"/>
        <s v="2024-02-25"/>
        <s v="2024-02-26"/>
        <s v="2024-02-27"/>
        <s v="2024-02-28"/>
        <s v="2024-02-29"/>
        <s v="2024-03-01"/>
        <s v="2024-03-02"/>
        <s v="2024-03-04"/>
        <s v="2024-03-05"/>
        <s v="2024-03-06"/>
        <s v="2024-03-07"/>
        <s v="2024-03-09"/>
        <s v="2024-03-10"/>
        <s v="2024-03-11"/>
        <s v="2024-03-12"/>
        <s v="2024-03-13"/>
        <s v="2024-03-14"/>
        <s v="2024-03-16"/>
        <s v="2024-03-17"/>
        <s v="2024-03-18"/>
        <s v="2024-03-19"/>
        <s v="2024-03-20"/>
        <s v="2024-03-22"/>
        <s v="2024-03-23"/>
        <s v="2024-03-24"/>
        <s v="2024-03-27"/>
        <s v="2024-03-28"/>
        <s v="2024-03-29"/>
        <s v="2024-03-30"/>
        <s v="2024-03-31"/>
      </sharedItems>
    </cacheField>
    <cacheField name="Validasi_Shift" numFmtId="0">
      <sharedItems count="2">
        <s v="Night"/>
        <s v="Day"/>
      </sharedItems>
    </cacheField>
    <cacheField name="Delay_Cek" numFmtId="2">
      <sharedItems/>
    </cacheField>
    <cacheField name="Produktivitas_Excavator" numFmtId="2">
      <sharedItems containsSemiMixedTypes="0" containsString="0" containsNumber="1" minValue="9.5471236230110161" maxValue="1672.7722772277227"/>
    </cacheField>
    <cacheField name="Estimated_Fuel" numFmtId="1">
      <sharedItems containsSemiMixedTypes="0" containsString="0" containsNumber="1" minValue="181.35000000000002" maxValue="746.25"/>
    </cacheField>
    <cacheField name="Working_Hours_Cek" numFmtId="0">
      <sharedItems/>
    </cacheField>
    <cacheField name="Rasio_Stripping" numFmtId="2">
      <sharedItems containsSemiMixedTypes="0" containsString="0" containsNumber="1" minValue="5.0432632880098888E-2" maxValue="90.29411764705882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ci Eka Azhari" refreshedDate="46008.460877777776" createdVersion="8" refreshedVersion="8" minRefreshableVersion="3" recordCount="149" xr:uid="{8EB4D036-0E90-4744-B4AB-E44CD9059196}">
  <cacheSource type="worksheet">
    <worksheetSource ref="A1:I150" sheet="Hauling_Unik"/>
  </cacheSource>
  <cacheFields count="9">
    <cacheField name="Tanggal" numFmtId="164">
      <sharedItems/>
    </cacheField>
    <cacheField name="Dump_Truck" numFmtId="0">
      <sharedItems count="5">
        <s v="DT03"/>
        <s v="DT01"/>
        <s v="DT02"/>
        <s v="DT05"/>
        <s v="DT04"/>
      </sharedItems>
    </cacheField>
    <cacheField name="Distance_km" numFmtId="2">
      <sharedItems containsSemiMixedTypes="0" containsString="0" containsNumber="1" minValue="2.04" maxValue="7.98"/>
    </cacheField>
    <cacheField name="Cycle_Time_min" numFmtId="2">
      <sharedItems containsSemiMixedTypes="0" containsString="0" containsNumber="1" minValue="5.0199999999999996" maxValue="14.99"/>
    </cacheField>
    <cacheField name="Ritase" numFmtId="1">
      <sharedItems containsSemiMixedTypes="0" containsString="0" containsNumber="1" containsInteger="1" minValue="8" maxValue="45"/>
    </cacheField>
    <cacheField name="Fuel_Usage_L" numFmtId="2">
      <sharedItems containsSemiMixedTypes="0" containsString="0" containsNumber="1" minValue="15.8" maxValue="148.63"/>
    </cacheField>
    <cacheField name="Normalisasi_Tanggal" numFmtId="164">
      <sharedItems count="73">
        <s v="2024-01-01"/>
        <s v="2024-01-03"/>
        <s v="2024-01-04"/>
        <s v="2024-01-07"/>
        <s v="2024-01-08"/>
        <s v="2024-01-10"/>
        <s v="2024-01-11"/>
        <s v="2024-01-12"/>
        <s v="2024-01-14"/>
        <s v="2024-01-16"/>
        <s v="2024-01-17"/>
        <s v="2024-01-18"/>
        <s v="2024-01-20"/>
        <s v="2024-01-21"/>
        <s v="2024-01-23"/>
        <s v="2024-01-24"/>
        <s v="2024-01-25"/>
        <s v="2024-01-27"/>
        <s v="2024-01-28"/>
        <s v="2024-01-30"/>
        <s v="2024-01-31"/>
        <s v="2024-02-01"/>
        <s v="2024-02-02"/>
        <s v="2024-02-03"/>
        <s v="2024-02-04"/>
        <s v="2024-02-05"/>
        <s v="2024-02-06"/>
        <s v="2024-02-07"/>
        <s v="2024-02-08"/>
        <s v="2024-02-10"/>
        <s v="2024-02-11"/>
        <s v="2024-02-13"/>
        <s v="2024-02-14"/>
        <s v="2024-02-15"/>
        <s v="2024-02-16"/>
        <s v="2024-02-17"/>
        <s v="2024-02-18"/>
        <s v="2024-02-19"/>
        <s v="2024-02-20"/>
        <s v="2024-02-21"/>
        <s v="2024-02-22"/>
        <s v="2024-02-23"/>
        <s v="2024-02-24"/>
        <s v="2024-02-25"/>
        <s v="2024-02-26"/>
        <s v="2024-02-27"/>
        <s v="2024-02-28"/>
        <s v="2024-02-29"/>
        <s v="2024-03-01"/>
        <s v="2024-03-02"/>
        <s v="2024-03-03"/>
        <s v="2024-03-04"/>
        <s v="2024-03-05"/>
        <s v="2024-03-06"/>
        <s v="2024-03-07"/>
        <s v="2024-03-10"/>
        <s v="2024-03-13"/>
        <s v="2024-03-14"/>
        <s v="2024-03-15"/>
        <s v="2024-03-16"/>
        <s v="2024-03-17"/>
        <s v="2024-03-18"/>
        <s v="2024-03-19"/>
        <s v="2024-03-20"/>
        <s v="2024-03-21"/>
        <s v="2024-03-22"/>
        <s v="2024-03-24"/>
        <s v="2024-03-25"/>
        <s v="2024-03-26"/>
        <s v="2024-03-27"/>
        <s v="2024-03-28"/>
        <s v="2024-03-30"/>
        <s v="2024-03-31"/>
      </sharedItems>
    </cacheField>
    <cacheField name="Fuel_Ratio" numFmtId="2">
      <sharedItems containsSemiMixedTypes="0" containsString="0" containsNumber="1" minValue="1.8104761904761906" maxValue="3.4"/>
    </cacheField>
    <cacheField name="Cycle_Time_Cat" numFmtId="0">
      <sharedItems count="2">
        <s v="Normal"/>
        <s v="Abnormal"/>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s v="2024-01-01"/>
    <x v="0"/>
    <s v="Seam 1"/>
    <s v="EX1100"/>
    <s v="Evening"/>
    <n v="713"/>
    <n v="6438"/>
    <n v="9.92"/>
    <n v="1.86"/>
    <n v="8.06"/>
    <x v="0"/>
    <x v="0"/>
    <s v="Valid"/>
    <n v="648.99193548387098"/>
    <n v="446.4"/>
    <s v="Valid"/>
    <n v="0.11074867971419695"/>
  </r>
  <r>
    <s v="2024-01-01"/>
    <x v="0"/>
    <s v="Seam 2"/>
    <s v="EX1100"/>
    <s v="Night"/>
    <n v="1366"/>
    <n v="1078"/>
    <n v="4.4400000000000004"/>
    <n v="0.72"/>
    <n v="3.72"/>
    <x v="0"/>
    <x v="0"/>
    <s v="Valid"/>
    <n v="242.79279279279277"/>
    <n v="199.8"/>
    <s v="Valid"/>
    <n v="1.2671614100185529"/>
  </r>
  <r>
    <s v="2024-01-02"/>
    <x v="1"/>
    <s v="Seam 1"/>
    <s v="EX2500"/>
    <s v="Day"/>
    <n v="2612"/>
    <n v="2675"/>
    <n v="7.16"/>
    <n v="1.5"/>
    <n v="5.66"/>
    <x v="1"/>
    <x v="1"/>
    <s v="Valid"/>
    <n v="373.60335195530723"/>
    <n v="537"/>
    <s v="Valid"/>
    <n v="0.97644859813084117"/>
  </r>
  <r>
    <s v="2024-01-02"/>
    <x v="2"/>
    <s v="Seam 2"/>
    <s v="EX2500"/>
    <s v="Day"/>
    <n v="3737"/>
    <n v="269"/>
    <n v="9.9499999999999993"/>
    <n v="0.78"/>
    <n v="9.17"/>
    <x v="1"/>
    <x v="1"/>
    <s v="Valid"/>
    <n v="27.035175879396988"/>
    <n v="746.25"/>
    <s v="Valid"/>
    <n v="13.892193308550185"/>
  </r>
  <r>
    <s v="2024-01-02"/>
    <x v="0"/>
    <s v="Seam 2"/>
    <s v="EX2500"/>
    <s v="Day"/>
    <n v="7669"/>
    <n v="4949"/>
    <n v="7.54"/>
    <n v="0.96"/>
    <n v="6.58"/>
    <x v="1"/>
    <x v="1"/>
    <s v="Valid"/>
    <n v="656.36604774535806"/>
    <n v="565.5"/>
    <s v="Valid"/>
    <n v="1.5496059810062639"/>
  </r>
  <r>
    <s v="2024-01-03"/>
    <x v="1"/>
    <s v="Seam 1"/>
    <s v="EX1200"/>
    <s v="Night"/>
    <n v="684"/>
    <n v="1349"/>
    <n v="5.43"/>
    <n v="0.27"/>
    <n v="5.16"/>
    <x v="2"/>
    <x v="0"/>
    <s v="Valid"/>
    <n v="248.43462246777165"/>
    <n v="260.64"/>
    <s v="Valid"/>
    <n v="0.50704225352112675"/>
  </r>
  <r>
    <s v="2024-01-03"/>
    <x v="1"/>
    <s v="Seam 2"/>
    <s v="EX1200"/>
    <s v="Day"/>
    <n v="8978"/>
    <n v="3637"/>
    <n v="4.71"/>
    <n v="0.08"/>
    <n v="4.63"/>
    <x v="2"/>
    <x v="1"/>
    <s v="Valid"/>
    <n v="772.18683651804668"/>
    <n v="226.07999999999998"/>
    <s v="Valid"/>
    <n v="2.4685180093483639"/>
  </r>
  <r>
    <s v="2024-01-03"/>
    <x v="1"/>
    <s v="Seam 1"/>
    <s v="EX1100"/>
    <s v="Evening"/>
    <n v="3336"/>
    <n v="2526"/>
    <n v="6.14"/>
    <n v="0.63"/>
    <n v="5.51"/>
    <x v="2"/>
    <x v="1"/>
    <s v="Valid"/>
    <n v="411.40065146579809"/>
    <n v="276.3"/>
    <s v="Valid"/>
    <n v="1.3206650831353919"/>
  </r>
  <r>
    <s v="2024-01-03"/>
    <x v="1"/>
    <s v="Seam 2"/>
    <s v="EX1200"/>
    <s v="Night"/>
    <n v="2604"/>
    <n v="1318"/>
    <n v="6.25"/>
    <n v="1.1399999999999999"/>
    <n v="5.1100000000000003"/>
    <x v="2"/>
    <x v="0"/>
    <s v="Valid"/>
    <n v="210.88"/>
    <n v="300"/>
    <s v="Valid"/>
    <n v="1.9757207890743551"/>
  </r>
  <r>
    <s v="2024-01-03"/>
    <x v="2"/>
    <s v="Seam 2"/>
    <s v="EX2500"/>
    <s v="Night"/>
    <n v="3710"/>
    <n v="3388"/>
    <n v="8.73"/>
    <n v="1.18"/>
    <n v="7.55"/>
    <x v="2"/>
    <x v="0"/>
    <s v="Valid"/>
    <n v="388.08705612829323"/>
    <n v="654.75"/>
    <s v="Valid"/>
    <n v="1.0950413223140496"/>
  </r>
  <r>
    <s v="2024-01-04"/>
    <x v="0"/>
    <s v="Seam 3"/>
    <s v="EX1200"/>
    <s v="Evening"/>
    <n v="5683"/>
    <n v="5055"/>
    <n v="4.59"/>
    <n v="0.17"/>
    <n v="4.42"/>
    <x v="3"/>
    <x v="0"/>
    <s v="Valid"/>
    <n v="1101.3071895424837"/>
    <n v="220.32"/>
    <s v="Valid"/>
    <n v="1.1242334322453016"/>
  </r>
  <r>
    <s v="2024-01-05"/>
    <x v="2"/>
    <s v="Seam 1"/>
    <s v="EX2500"/>
    <s v="Night"/>
    <n v="4512"/>
    <n v="1543"/>
    <n v="5.16"/>
    <n v="0.03"/>
    <n v="5.13"/>
    <x v="4"/>
    <x v="0"/>
    <s v="Valid"/>
    <n v="299.03100775193798"/>
    <n v="387"/>
    <s v="Valid"/>
    <n v="2.9241736876215163"/>
  </r>
  <r>
    <s v="2024-01-07"/>
    <x v="0"/>
    <s v="Seam 2"/>
    <s v="EX1200"/>
    <s v="Day"/>
    <n v="8608"/>
    <n v="1381"/>
    <n v="5.24"/>
    <n v="0.17"/>
    <n v="5.07"/>
    <x v="5"/>
    <x v="1"/>
    <s v="Valid"/>
    <n v="263.54961832061065"/>
    <n v="251.52"/>
    <s v="Valid"/>
    <n v="6.2331643736422881"/>
  </r>
  <r>
    <s v="2024-01-07"/>
    <x v="1"/>
    <s v="Seam 1"/>
    <s v="EX1200"/>
    <s v="Night"/>
    <n v="2268"/>
    <n v="5211"/>
    <n v="9.7799999999999994"/>
    <n v="0.33"/>
    <n v="9.4499999999999993"/>
    <x v="5"/>
    <x v="0"/>
    <s v="Valid"/>
    <n v="532.82208588957053"/>
    <n v="469.43999999999994"/>
    <s v="Valid"/>
    <n v="0.43523316062176165"/>
  </r>
  <r>
    <s v="2024-01-09"/>
    <x v="0"/>
    <s v="Seam 3"/>
    <s v="EX1100"/>
    <s v="Day"/>
    <n v="3338"/>
    <n v="3878"/>
    <n v="9.27"/>
    <n v="0.35"/>
    <n v="8.92"/>
    <x v="6"/>
    <x v="1"/>
    <s v="Valid"/>
    <n v="418.33872707659117"/>
    <n v="417.15"/>
    <s v="Valid"/>
    <n v="0.86075296544610624"/>
  </r>
  <r>
    <s v="2024-01-09"/>
    <x v="1"/>
    <s v="Seam 3"/>
    <s v="EX1200"/>
    <s v="Night"/>
    <n v="938"/>
    <n v="2671"/>
    <n v="6.8"/>
    <n v="0.97"/>
    <n v="5.83"/>
    <x v="6"/>
    <x v="0"/>
    <s v="Valid"/>
    <n v="392.79411764705884"/>
    <n v="326.39999999999998"/>
    <s v="Valid"/>
    <n v="0.35117933358292774"/>
  </r>
  <r>
    <s v="2024-01-09"/>
    <x v="2"/>
    <s v="Seam 1"/>
    <s v="EX1200"/>
    <s v="Day"/>
    <n v="5401"/>
    <n v="78"/>
    <n v="8.17"/>
    <n v="0.51"/>
    <n v="7.66"/>
    <x v="6"/>
    <x v="1"/>
    <s v="Valid"/>
    <n v="9.5471236230110161"/>
    <n v="392.15999999999997"/>
    <s v="Valid"/>
    <n v="69.243589743589737"/>
  </r>
  <r>
    <s v="2024-01-10"/>
    <x v="0"/>
    <s v="Seam 1"/>
    <s v="EX1100"/>
    <s v="Night"/>
    <n v="2208"/>
    <n v="3296"/>
    <n v="6.97"/>
    <n v="0.23"/>
    <n v="6.74"/>
    <x v="7"/>
    <x v="0"/>
    <s v="Valid"/>
    <n v="472.88378766140602"/>
    <n v="313.64999999999998"/>
    <s v="Valid"/>
    <n v="0.66990291262135926"/>
  </r>
  <r>
    <s v="2024-01-10"/>
    <x v="0"/>
    <s v="Seam 2"/>
    <s v="EX1200"/>
    <s v="Night"/>
    <n v="1812"/>
    <n v="4496"/>
    <n v="4.7699999999999996"/>
    <n v="1.1299999999999999"/>
    <n v="3.64"/>
    <x v="7"/>
    <x v="0"/>
    <s v="Valid"/>
    <n v="942.55765199161431"/>
    <n v="228.95999999999998"/>
    <s v="Valid"/>
    <n v="0.40302491103202848"/>
  </r>
  <r>
    <s v="2024-01-11"/>
    <x v="0"/>
    <s v="Seam 2"/>
    <s v="EX1200"/>
    <s v="Night"/>
    <n v="566"/>
    <n v="2310"/>
    <n v="8.84"/>
    <n v="1.88"/>
    <n v="6.96"/>
    <x v="8"/>
    <x v="0"/>
    <s v="Valid"/>
    <n v="261.31221719457017"/>
    <n v="424.32"/>
    <s v="Valid"/>
    <n v="0.24502164502164503"/>
  </r>
  <r>
    <s v="2024-01-12"/>
    <x v="1"/>
    <s v="Seam 2"/>
    <s v="EX1100"/>
    <s v="Night"/>
    <n v="866"/>
    <n v="5665"/>
    <n v="4.41"/>
    <n v="0.72"/>
    <n v="3.69"/>
    <x v="9"/>
    <x v="0"/>
    <s v="Valid"/>
    <n v="1284.580498866213"/>
    <n v="198.45000000000002"/>
    <s v="Valid"/>
    <n v="0.15286849073256839"/>
  </r>
  <r>
    <s v="2024-01-12"/>
    <x v="2"/>
    <s v="Seam 3"/>
    <s v="EX1100"/>
    <s v="Evening"/>
    <n v="2749"/>
    <n v="3981"/>
    <n v="7.71"/>
    <n v="1.65"/>
    <n v="6.06"/>
    <x v="9"/>
    <x v="0"/>
    <s v="Valid"/>
    <n v="516.34241245136184"/>
    <n v="346.95"/>
    <s v="Valid"/>
    <n v="0.69053001758352173"/>
  </r>
  <r>
    <s v="2024-01-14"/>
    <x v="0"/>
    <s v="Seam 1"/>
    <s v="EX1100"/>
    <s v="Night"/>
    <n v="8322"/>
    <n v="5039"/>
    <n v="9.36"/>
    <n v="1.99"/>
    <n v="7.37"/>
    <x v="10"/>
    <x v="0"/>
    <s v="Valid"/>
    <n v="538.35470085470092"/>
    <n v="421.2"/>
    <s v="Valid"/>
    <n v="1.6515181583647549"/>
  </r>
  <r>
    <s v="2024-01-14"/>
    <x v="1"/>
    <s v="Seam 1"/>
    <s v="EX2500"/>
    <s v="Day"/>
    <n v="6140"/>
    <n v="68"/>
    <n v="5.95"/>
    <n v="0.06"/>
    <n v="5.89"/>
    <x v="10"/>
    <x v="1"/>
    <s v="Valid"/>
    <n v="11.428571428571429"/>
    <n v="446.25"/>
    <s v="Valid"/>
    <n v="90.294117647058826"/>
  </r>
  <r>
    <s v="2024-01-14"/>
    <x v="1"/>
    <s v="Seam 3"/>
    <s v="EX2500"/>
    <s v="Day"/>
    <n v="5415"/>
    <n v="5800"/>
    <n v="4.57"/>
    <n v="0.38"/>
    <n v="4.1900000000000004"/>
    <x v="10"/>
    <x v="1"/>
    <s v="Valid"/>
    <n v="1269.1466083150983"/>
    <n v="342.75"/>
    <s v="Valid"/>
    <n v="0.93362068965517242"/>
  </r>
  <r>
    <s v="2024-01-15"/>
    <x v="1"/>
    <s v="Seam 1"/>
    <s v="EX1100"/>
    <s v="Day"/>
    <n v="7864"/>
    <n v="4876"/>
    <n v="6.23"/>
    <n v="1.01"/>
    <n v="5.22"/>
    <x v="11"/>
    <x v="1"/>
    <s v="Valid"/>
    <n v="782.66452648475115"/>
    <n v="280.35000000000002"/>
    <s v="Valid"/>
    <n v="1.6127973748974569"/>
  </r>
  <r>
    <s v="2024-01-15"/>
    <x v="1"/>
    <s v="Seam 1"/>
    <s v="EX1200"/>
    <s v="Day"/>
    <n v="4629"/>
    <n v="6379"/>
    <n v="6.26"/>
    <n v="1.64"/>
    <n v="4.62"/>
    <x v="11"/>
    <x v="1"/>
    <s v="Valid"/>
    <n v="1019.0095846645368"/>
    <n v="300.48"/>
    <s v="Valid"/>
    <n v="0.72566232951873333"/>
  </r>
  <r>
    <s v="2024-01-15"/>
    <x v="0"/>
    <s v="Seam 3"/>
    <s v="EX1200"/>
    <s v="Day"/>
    <n v="4466"/>
    <n v="3023"/>
    <n v="8.98"/>
    <n v="0.75"/>
    <n v="8.23"/>
    <x v="11"/>
    <x v="1"/>
    <s v="Valid"/>
    <n v="336.63697104677061"/>
    <n v="431.04"/>
    <s v="Valid"/>
    <n v="1.4773403903407212"/>
  </r>
  <r>
    <s v="2024-01-15"/>
    <x v="0"/>
    <s v="Seam 1"/>
    <s v="EX1100"/>
    <s v="Night"/>
    <n v="4466"/>
    <n v="4358"/>
    <n v="6.25"/>
    <n v="0.94"/>
    <n v="5.31"/>
    <x v="11"/>
    <x v="0"/>
    <s v="Valid"/>
    <n v="697.28"/>
    <n v="281.25"/>
    <s v="Valid"/>
    <n v="1.0247820100963745"/>
  </r>
  <r>
    <s v="2024-01-16"/>
    <x v="2"/>
    <s v="Seam 2"/>
    <s v="EX1200"/>
    <s v="Day"/>
    <n v="4108"/>
    <n v="4099"/>
    <n v="9.24"/>
    <n v="1.82"/>
    <n v="7.42"/>
    <x v="12"/>
    <x v="1"/>
    <s v="Valid"/>
    <n v="443.61471861471858"/>
    <n v="443.52"/>
    <s v="Valid"/>
    <n v="1.0021956574774336"/>
  </r>
  <r>
    <s v="2024-01-17"/>
    <x v="1"/>
    <s v="Seam 2"/>
    <s v="EX2500"/>
    <s v="Night"/>
    <n v="503"/>
    <n v="3033"/>
    <n v="7.33"/>
    <n v="0.73"/>
    <n v="6.6"/>
    <x v="13"/>
    <x v="0"/>
    <s v="Valid"/>
    <n v="413.77899045020462"/>
    <n v="549.75"/>
    <s v="Valid"/>
    <n v="0.16584240026376526"/>
  </r>
  <r>
    <s v="2024-01-17"/>
    <x v="1"/>
    <s v="Seam 1"/>
    <s v="EX1100"/>
    <s v="Day"/>
    <n v="8658"/>
    <n v="999"/>
    <n v="8.5399999999999991"/>
    <n v="1.89"/>
    <n v="6.65"/>
    <x v="13"/>
    <x v="1"/>
    <s v="Valid"/>
    <n v="116.97892271662765"/>
    <n v="384.29999999999995"/>
    <s v="Valid"/>
    <n v="8.6666666666666661"/>
  </r>
  <r>
    <s v="2024-01-18"/>
    <x v="1"/>
    <s v="Seam 3"/>
    <s v="EX1100"/>
    <s v="Day"/>
    <n v="2292"/>
    <n v="254"/>
    <n v="5.83"/>
    <n v="1.8"/>
    <n v="4.03"/>
    <x v="14"/>
    <x v="1"/>
    <s v="Valid"/>
    <n v="43.567753001715268"/>
    <n v="262.35000000000002"/>
    <s v="Valid"/>
    <n v="9.0236220472440944"/>
  </r>
  <r>
    <s v="2024-01-18"/>
    <x v="0"/>
    <s v="Seam 2"/>
    <s v="EX1200"/>
    <s v="Day"/>
    <n v="6094"/>
    <n v="6929"/>
    <n v="5.72"/>
    <n v="0.89"/>
    <n v="4.83"/>
    <x v="14"/>
    <x v="1"/>
    <s v="Valid"/>
    <n v="1211.3636363636365"/>
    <n v="274.56"/>
    <s v="Valid"/>
    <n v="0.87949199018617408"/>
  </r>
  <r>
    <s v="2024-01-19"/>
    <x v="0"/>
    <s v="Seam 1"/>
    <s v="EX2500"/>
    <s v="Night"/>
    <n v="4201"/>
    <n v="5551"/>
    <n v="8.7799999999999994"/>
    <n v="0.88"/>
    <n v="7.9"/>
    <x v="15"/>
    <x v="0"/>
    <s v="Valid"/>
    <n v="632.23234624145789"/>
    <n v="658.5"/>
    <s v="Valid"/>
    <n v="0.7568005764727076"/>
  </r>
  <r>
    <s v="2024-01-19"/>
    <x v="0"/>
    <s v="Seam 1"/>
    <s v="EX2500"/>
    <s v="Night"/>
    <n v="3700"/>
    <n v="1372"/>
    <n v="5.3"/>
    <n v="0.91"/>
    <n v="4.3899999999999997"/>
    <x v="15"/>
    <x v="0"/>
    <s v="Valid"/>
    <n v="258.8679245283019"/>
    <n v="397.5"/>
    <s v="Valid"/>
    <n v="2.6967930029154519"/>
  </r>
  <r>
    <s v="2024-01-19"/>
    <x v="2"/>
    <s v="Seam 2"/>
    <s v="EX1200"/>
    <s v="Day"/>
    <n v="2340"/>
    <n v="5815"/>
    <n v="4"/>
    <n v="0.9"/>
    <n v="3.1"/>
    <x v="15"/>
    <x v="1"/>
    <s v="Valid"/>
    <n v="1453.75"/>
    <n v="192"/>
    <s v="Valid"/>
    <n v="0.40240756663800514"/>
  </r>
  <r>
    <s v="2024-01-20"/>
    <x v="1"/>
    <s v="Seam 2"/>
    <s v="EX1200"/>
    <s v="Night"/>
    <n v="2608"/>
    <n v="5513"/>
    <n v="5.5"/>
    <n v="0.89"/>
    <n v="4.6100000000000003"/>
    <x v="16"/>
    <x v="0"/>
    <s v="Valid"/>
    <n v="1002.3636363636364"/>
    <n v="264"/>
    <s v="Valid"/>
    <n v="0.47306366769454017"/>
  </r>
  <r>
    <s v="2024-01-22"/>
    <x v="0"/>
    <s v="Seam 1"/>
    <s v="EX1200"/>
    <s v="Day"/>
    <n v="5614"/>
    <n v="5347"/>
    <n v="7.83"/>
    <n v="1.99"/>
    <n v="5.84"/>
    <x v="17"/>
    <x v="1"/>
    <s v="Valid"/>
    <n v="682.88633461047255"/>
    <n v="375.84000000000003"/>
    <s v="Valid"/>
    <n v="1.0499345427342435"/>
  </r>
  <r>
    <s v="2024-01-24"/>
    <x v="0"/>
    <s v="Seam 3"/>
    <s v="EX2500"/>
    <s v="Day"/>
    <n v="6057"/>
    <n v="1189"/>
    <n v="5.46"/>
    <n v="0.62"/>
    <n v="4.84"/>
    <x v="18"/>
    <x v="1"/>
    <s v="Valid"/>
    <n v="217.76556776556777"/>
    <n v="409.5"/>
    <s v="Valid"/>
    <n v="5.094196804037006"/>
  </r>
  <r>
    <s v="2024-01-24"/>
    <x v="0"/>
    <s v="Seam 2"/>
    <s v="EX2500"/>
    <s v="Night"/>
    <n v="996"/>
    <n v="3003"/>
    <n v="6.17"/>
    <n v="0.08"/>
    <n v="6.09"/>
    <x v="18"/>
    <x v="0"/>
    <s v="Valid"/>
    <n v="486.709886547812"/>
    <n v="462.75"/>
    <s v="Valid"/>
    <n v="0.33166833166833165"/>
  </r>
  <r>
    <s v="2024-01-24"/>
    <x v="0"/>
    <s v="Seam 3"/>
    <s v="EX1100"/>
    <s v="Day"/>
    <n v="2855"/>
    <n v="4934"/>
    <n v="6.41"/>
    <n v="0.85"/>
    <n v="5.56"/>
    <x v="18"/>
    <x v="1"/>
    <s v="Valid"/>
    <n v="769.73478939157565"/>
    <n v="288.45"/>
    <s v="Valid"/>
    <n v="0.57863802188893387"/>
  </r>
  <r>
    <s v="2024-01-25"/>
    <x v="2"/>
    <s v="Seam 2"/>
    <s v="EX2500"/>
    <s v="Day"/>
    <n v="6106"/>
    <n v="4221"/>
    <n v="8.32"/>
    <n v="1.94"/>
    <n v="6.38"/>
    <x v="19"/>
    <x v="1"/>
    <s v="Valid"/>
    <n v="507.33173076923077"/>
    <n v="624"/>
    <s v="Valid"/>
    <n v="1.4465766406064913"/>
  </r>
  <r>
    <s v="2024-01-25"/>
    <x v="0"/>
    <s v="Seam 3"/>
    <s v="EX2500"/>
    <s v="Night"/>
    <n v="6073"/>
    <n v="3081"/>
    <n v="4.07"/>
    <n v="1.22"/>
    <n v="2.85"/>
    <x v="19"/>
    <x v="0"/>
    <s v="Valid"/>
    <n v="757.00245700245694"/>
    <n v="305.25"/>
    <s v="Valid"/>
    <n v="1.9711132749107432"/>
  </r>
  <r>
    <s v="2024-01-26"/>
    <x v="2"/>
    <s v="Seam 3"/>
    <s v="EX2500"/>
    <s v="Day"/>
    <n v="7956"/>
    <n v="1862"/>
    <n v="9.42"/>
    <n v="0.59"/>
    <n v="8.83"/>
    <x v="20"/>
    <x v="1"/>
    <s v="Valid"/>
    <n v="197.66454352441613"/>
    <n v="706.5"/>
    <s v="Valid"/>
    <n v="4.2728249194414607"/>
  </r>
  <r>
    <s v="2024-01-26"/>
    <x v="2"/>
    <s v="Seam 3"/>
    <s v="EX1100"/>
    <s v="Night"/>
    <n v="4811"/>
    <n v="6781"/>
    <n v="4.1100000000000003"/>
    <n v="0.7"/>
    <n v="3.41"/>
    <x v="20"/>
    <x v="0"/>
    <s v="Valid"/>
    <n v="1649.8783454987833"/>
    <n v="184.95000000000002"/>
    <s v="Valid"/>
    <n v="0.70948237723049701"/>
  </r>
  <r>
    <s v="2024-01-26"/>
    <x v="2"/>
    <s v="Seam 2"/>
    <s v="EX2500"/>
    <s v="Night"/>
    <n v="7640"/>
    <n v="2928"/>
    <n v="7.8"/>
    <n v="0.93"/>
    <n v="6.87"/>
    <x v="20"/>
    <x v="0"/>
    <s v="Valid"/>
    <n v="375.38461538461542"/>
    <n v="585"/>
    <s v="Valid"/>
    <n v="2.6092896174863389"/>
  </r>
  <r>
    <s v="2024-01-27"/>
    <x v="1"/>
    <s v="Seam 2"/>
    <s v="EX1200"/>
    <s v="Night"/>
    <n v="3761"/>
    <n v="658"/>
    <n v="9.94"/>
    <n v="1.99"/>
    <n v="7.95"/>
    <x v="21"/>
    <x v="0"/>
    <s v="Valid"/>
    <n v="66.197183098591552"/>
    <n v="477.12"/>
    <s v="Valid"/>
    <n v="5.7158054711246198"/>
  </r>
  <r>
    <s v="2024-01-27"/>
    <x v="1"/>
    <s v="Seam 2"/>
    <s v="EX1200"/>
    <s v="Night"/>
    <n v="8898"/>
    <n v="6758"/>
    <n v="4.04"/>
    <n v="1.89"/>
    <n v="2.15"/>
    <x v="21"/>
    <x v="0"/>
    <s v="Valid"/>
    <n v="1672.7722772277227"/>
    <n v="193.92000000000002"/>
    <s v="Valid"/>
    <n v="1.3166617342408997"/>
  </r>
  <r>
    <s v="2024-01-28"/>
    <x v="1"/>
    <s v="Seam 2"/>
    <s v="EX1200"/>
    <s v="Night"/>
    <n v="8058"/>
    <n v="566"/>
    <n v="4.13"/>
    <n v="1.05"/>
    <n v="3.08"/>
    <x v="22"/>
    <x v="0"/>
    <s v="Valid"/>
    <n v="137.04600484261502"/>
    <n v="198.24"/>
    <s v="Valid"/>
    <n v="14.236749116607774"/>
  </r>
  <r>
    <s v="2024-01-29"/>
    <x v="2"/>
    <s v="Seam 2"/>
    <s v="EX1200"/>
    <s v="Night"/>
    <n v="7822"/>
    <n v="5097"/>
    <n v="4.3600000000000003"/>
    <n v="0.59"/>
    <n v="3.77"/>
    <x v="23"/>
    <x v="0"/>
    <s v="Valid"/>
    <n v="1169.0366972477063"/>
    <n v="209.28000000000003"/>
    <s v="Valid"/>
    <n v="1.534628212674122"/>
  </r>
  <r>
    <s v="2024-01-30"/>
    <x v="1"/>
    <s v="Seam 2"/>
    <s v="EX2500"/>
    <s v="Day"/>
    <n v="8329"/>
    <n v="2392"/>
    <n v="4.1900000000000004"/>
    <n v="1.1499999999999999"/>
    <n v="3.04"/>
    <x v="24"/>
    <x v="1"/>
    <s v="Valid"/>
    <n v="570.88305489260142"/>
    <n v="314.25000000000006"/>
    <s v="Valid"/>
    <n v="3.4820234113712374"/>
  </r>
  <r>
    <s v="2024-01-31"/>
    <x v="2"/>
    <s v="Seam 1"/>
    <s v="EX1200"/>
    <s v="Night"/>
    <n v="3030"/>
    <n v="364"/>
    <n v="9.1199999999999992"/>
    <n v="1.56"/>
    <n v="7.56"/>
    <x v="25"/>
    <x v="0"/>
    <s v="Valid"/>
    <n v="39.912280701754391"/>
    <n v="437.76"/>
    <s v="Valid"/>
    <n v="8.3241758241758248"/>
  </r>
  <r>
    <s v="2024-01-31"/>
    <x v="1"/>
    <s v="Seam 1"/>
    <s v="EX1200"/>
    <s v="Day"/>
    <n v="1919"/>
    <n v="4940"/>
    <n v="8.64"/>
    <n v="1.86"/>
    <n v="6.78"/>
    <x v="25"/>
    <x v="1"/>
    <s v="Valid"/>
    <n v="571.75925925925924"/>
    <n v="414.72"/>
    <s v="Valid"/>
    <n v="0.38846153846153847"/>
  </r>
  <r>
    <s v="2024-01-31"/>
    <x v="2"/>
    <s v="Seam 3"/>
    <s v="EX1200"/>
    <s v="Night"/>
    <n v="359"/>
    <n v="1439"/>
    <n v="6.72"/>
    <n v="0.56000000000000005"/>
    <n v="6.16"/>
    <x v="25"/>
    <x v="0"/>
    <s v="Valid"/>
    <n v="214.13690476190476"/>
    <n v="322.56"/>
    <s v="Valid"/>
    <n v="0.24947880472550382"/>
  </r>
  <r>
    <s v="2024/13/40"/>
    <x v="2"/>
    <s v="Seam 3"/>
    <s v="EX1200"/>
    <s v="Night"/>
    <n v="1823"/>
    <n v="5292"/>
    <n v="7.1"/>
    <n v="0.34"/>
    <n v="6.76"/>
    <x v="25"/>
    <x v="0"/>
    <s v="Valid"/>
    <n v="745.35211267605632"/>
    <n v="340.79999999999995"/>
    <s v="Valid"/>
    <n v="0.34448223733938022"/>
  </r>
  <r>
    <s v="2024-02-03"/>
    <x v="0"/>
    <s v="Seam 2"/>
    <s v="EX2500"/>
    <s v="Day"/>
    <n v="370"/>
    <n v="4190"/>
    <n v="5.74"/>
    <n v="1.6"/>
    <n v="4.1399999999999997"/>
    <x v="26"/>
    <x v="1"/>
    <s v="Valid"/>
    <n v="729.96515679442507"/>
    <n v="430.5"/>
    <s v="Valid"/>
    <n v="8.83054892601432E-2"/>
  </r>
  <r>
    <s v="2024-02-03"/>
    <x v="1"/>
    <s v="Seam 2"/>
    <s v="EX1100"/>
    <s v="Night"/>
    <n v="502"/>
    <n v="4102"/>
    <n v="5.37"/>
    <n v="0.34"/>
    <n v="5.03"/>
    <x v="26"/>
    <x v="0"/>
    <s v="Valid"/>
    <n v="763.87337057728121"/>
    <n v="241.65"/>
    <s v="Valid"/>
    <n v="0.12237932715748416"/>
  </r>
  <r>
    <s v="2024-02-04"/>
    <x v="2"/>
    <s v="Seam 1"/>
    <s v="EX1200"/>
    <s v="Evening"/>
    <n v="5695"/>
    <n v="2158"/>
    <n v="9.1300000000000008"/>
    <n v="0.94"/>
    <n v="8.19"/>
    <x v="27"/>
    <x v="0"/>
    <s v="Valid"/>
    <n v="236.36363636363635"/>
    <n v="438.24"/>
    <s v="Valid"/>
    <n v="2.6390176088971269"/>
  </r>
  <r>
    <s v="2024-02-04"/>
    <x v="2"/>
    <s v="Seam 2"/>
    <s v="EX2500"/>
    <s v="Night"/>
    <n v="173"/>
    <n v="1404"/>
    <n v="5.4"/>
    <n v="1.41"/>
    <n v="3.99"/>
    <x v="27"/>
    <x v="0"/>
    <s v="Valid"/>
    <n v="260"/>
    <n v="405"/>
    <s v="Valid"/>
    <n v="0.12321937321937322"/>
  </r>
  <r>
    <s v="2024-02-04"/>
    <x v="0"/>
    <s v="Seam 3"/>
    <s v="EX1100"/>
    <s v="Day"/>
    <n v="1744"/>
    <n v="3799"/>
    <n v="5.48"/>
    <n v="0.44"/>
    <n v="5.04"/>
    <x v="27"/>
    <x v="1"/>
    <s v="Valid"/>
    <n v="693.24817518248165"/>
    <n v="246.60000000000002"/>
    <s v="Valid"/>
    <n v="0.45906817583574627"/>
  </r>
  <r>
    <s v="2024-02-05"/>
    <x v="1"/>
    <s v="Seam 1"/>
    <s v="EX2500"/>
    <s v="Evening"/>
    <n v="3436"/>
    <n v="5420"/>
    <n v="7.13"/>
    <n v="0.68"/>
    <n v="6.45"/>
    <x v="28"/>
    <x v="0"/>
    <s v="Valid"/>
    <n v="760.16830294530155"/>
    <n v="534.75"/>
    <s v="Valid"/>
    <n v="0.6339483394833948"/>
  </r>
  <r>
    <s v="2024-02-05"/>
    <x v="0"/>
    <s v="Seam 3"/>
    <s v="EX2500"/>
    <s v="Day"/>
    <n v="2142"/>
    <n v="2619"/>
    <n v="6.2"/>
    <n v="0.27"/>
    <n v="5.93"/>
    <x v="28"/>
    <x v="1"/>
    <s v="Valid"/>
    <n v="422.41935483870964"/>
    <n v="465"/>
    <s v="Valid"/>
    <n v="0.81786941580756012"/>
  </r>
  <r>
    <s v="2024/13/40"/>
    <x v="0"/>
    <s v="Seam 3"/>
    <s v="EX2500"/>
    <s v="Day"/>
    <n v="4805"/>
    <n v="5407"/>
    <n v="6.04"/>
    <n v="1.36"/>
    <n v="4.68"/>
    <x v="28"/>
    <x v="1"/>
    <s v="Valid"/>
    <n v="895.19867549668879"/>
    <n v="453"/>
    <s v="Valid"/>
    <n v="0.88866284446088406"/>
  </r>
  <r>
    <s v="2024-02-05"/>
    <x v="0"/>
    <s v="Seam 2"/>
    <s v="EX2500"/>
    <s v="Day"/>
    <n v="6832"/>
    <n v="5330"/>
    <n v="4.42"/>
    <n v="0.41"/>
    <n v="4.01"/>
    <x v="28"/>
    <x v="1"/>
    <s v="Valid"/>
    <n v="1205.8823529411766"/>
    <n v="331.5"/>
    <s v="Valid"/>
    <n v="1.2818011257035646"/>
  </r>
  <r>
    <s v="2024-02-06"/>
    <x v="1"/>
    <s v="Seam 3"/>
    <s v="EX2500"/>
    <s v="Day"/>
    <n v="2901"/>
    <n v="1408"/>
    <n v="4.3600000000000003"/>
    <n v="0.72"/>
    <n v="3.64"/>
    <x v="29"/>
    <x v="1"/>
    <s v="Valid"/>
    <n v="322.93577981651373"/>
    <n v="327"/>
    <s v="Valid"/>
    <n v="2.0603693181818183"/>
  </r>
  <r>
    <s v="2024-02-09"/>
    <x v="2"/>
    <s v="Seam 1"/>
    <s v="EX1200"/>
    <s v="Day"/>
    <n v="6569"/>
    <n v="1391"/>
    <n v="7.1"/>
    <n v="0.35"/>
    <n v="6.75"/>
    <x v="30"/>
    <x v="1"/>
    <s v="Valid"/>
    <n v="195.91549295774649"/>
    <n v="340.79999999999995"/>
    <s v="Valid"/>
    <n v="4.7225017972681522"/>
  </r>
  <r>
    <s v="2024-02-10"/>
    <x v="1"/>
    <s v="Seam 1"/>
    <s v="EX1100"/>
    <s v="Day"/>
    <n v="5615"/>
    <n v="3582"/>
    <n v="8.6"/>
    <n v="1.04"/>
    <n v="7.56"/>
    <x v="31"/>
    <x v="1"/>
    <s v="Valid"/>
    <n v="416.51162790697674"/>
    <n v="387"/>
    <s v="Valid"/>
    <n v="1.5675600223338917"/>
  </r>
  <r>
    <s v="2024-02-10"/>
    <x v="0"/>
    <s v="Seam 1"/>
    <s v="EX2500"/>
    <s v="Day"/>
    <n v="2077"/>
    <n v="5424"/>
    <n v="5.46"/>
    <n v="0.81"/>
    <n v="4.6500000000000004"/>
    <x v="31"/>
    <x v="1"/>
    <s v="Valid"/>
    <n v="993.4065934065934"/>
    <n v="409.5"/>
    <s v="Valid"/>
    <n v="0.38292772861356933"/>
  </r>
  <r>
    <s v="2024-02-11"/>
    <x v="0"/>
    <s v="Seam 2"/>
    <s v="EX1200"/>
    <s v="Day"/>
    <n v="1076"/>
    <n v="657"/>
    <n v="5.9"/>
    <n v="1.99"/>
    <n v="3.91"/>
    <x v="32"/>
    <x v="1"/>
    <s v="Valid"/>
    <n v="111.35593220338983"/>
    <n v="283.20000000000005"/>
    <s v="Valid"/>
    <n v="1.6377473363774733"/>
  </r>
  <r>
    <s v="2024-02-12"/>
    <x v="0"/>
    <s v="Seam 1"/>
    <s v="EX2500"/>
    <s v="Night"/>
    <n v="2760"/>
    <n v="2366"/>
    <n v="9.06"/>
    <n v="0.31"/>
    <n v="8.75"/>
    <x v="33"/>
    <x v="0"/>
    <s v="Valid"/>
    <n v="261.14790286975716"/>
    <n v="679.5"/>
    <s v="Valid"/>
    <n v="1.1665257819103974"/>
  </r>
  <r>
    <s v="2024-02-14"/>
    <x v="1"/>
    <s v="Seam 3"/>
    <s v="EX1100"/>
    <s v="Evening"/>
    <n v="1210"/>
    <n v="2267"/>
    <n v="8.6300000000000008"/>
    <n v="0.94"/>
    <n v="7.69"/>
    <x v="34"/>
    <x v="1"/>
    <s v="Valid"/>
    <n v="262.68829663962919"/>
    <n v="388.35"/>
    <s v="Valid"/>
    <n v="0.5337450374944861"/>
  </r>
  <r>
    <s v="2024-02-14"/>
    <x v="2"/>
    <s v="Seam 1"/>
    <s v="EX1200"/>
    <s v="Night"/>
    <n v="5409"/>
    <n v="4542"/>
    <n v="5.83"/>
    <n v="0.45"/>
    <n v="5.38"/>
    <x v="34"/>
    <x v="0"/>
    <s v="Valid"/>
    <n v="779.07375643224702"/>
    <n v="279.84000000000003"/>
    <s v="Valid"/>
    <n v="1.190885072655218"/>
  </r>
  <r>
    <s v="2024-02-14"/>
    <x v="2"/>
    <s v="Seam 2"/>
    <s v="EX1100"/>
    <s v="Day"/>
    <n v="6662"/>
    <n v="132"/>
    <n v="9.84"/>
    <n v="0.52"/>
    <n v="9.32"/>
    <x v="34"/>
    <x v="1"/>
    <s v="Valid"/>
    <n v="13.414634146341463"/>
    <n v="442.8"/>
    <s v="Valid"/>
    <n v="50.469696969696969"/>
  </r>
  <r>
    <s v="2024-02-16"/>
    <x v="2"/>
    <s v="Seam 2"/>
    <s v="EX1200"/>
    <s v="Night"/>
    <n v="4744"/>
    <n v="4602"/>
    <n v="9.4499999999999993"/>
    <n v="0.17"/>
    <n v="9.2799999999999994"/>
    <x v="35"/>
    <x v="0"/>
    <s v="Valid"/>
    <n v="486.98412698412704"/>
    <n v="453.59999999999997"/>
    <s v="Valid"/>
    <n v="1.0308561495002173"/>
  </r>
  <r>
    <s v="2024-02-16"/>
    <x v="1"/>
    <s v="Seam 1"/>
    <s v="EX2500"/>
    <s v="Night"/>
    <n v="5154"/>
    <n v="2366"/>
    <n v="5.0599999999999996"/>
    <n v="0.16"/>
    <n v="4.9000000000000004"/>
    <x v="35"/>
    <x v="0"/>
    <s v="Valid"/>
    <n v="467.58893280632412"/>
    <n v="379.49999999999994"/>
    <s v="Valid"/>
    <n v="2.1783601014370246"/>
  </r>
  <r>
    <m/>
    <x v="1"/>
    <s v="Seam 1"/>
    <s v="EX2500"/>
    <s v="Night"/>
    <n v="4956"/>
    <n v="5518"/>
    <n v="7.4"/>
    <n v="0.09"/>
    <n v="7.31"/>
    <x v="35"/>
    <x v="0"/>
    <s v="Valid"/>
    <n v="745.67567567567562"/>
    <n v="555"/>
    <s v="Valid"/>
    <n v="0.89815150416817691"/>
  </r>
  <r>
    <s v="2024-02-17"/>
    <x v="1"/>
    <s v="Seam 3"/>
    <s v="EX1100"/>
    <s v="Night"/>
    <n v="7607"/>
    <n v="4801"/>
    <n v="6.5"/>
    <n v="1.52"/>
    <n v="4.9800000000000004"/>
    <x v="36"/>
    <x v="0"/>
    <s v="Valid"/>
    <n v="738.61538461538464"/>
    <n v="292.5"/>
    <s v="Valid"/>
    <n v="1.5844615705061444"/>
  </r>
  <r>
    <s v="2024-02-17"/>
    <x v="2"/>
    <s v="Seam 3"/>
    <s v="EX1100"/>
    <s v="Day"/>
    <n v="1958"/>
    <n v="2487"/>
    <n v="6.37"/>
    <n v="0.68"/>
    <n v="5.69"/>
    <x v="36"/>
    <x v="1"/>
    <s v="Valid"/>
    <n v="390.42386185243328"/>
    <n v="286.64999999999998"/>
    <s v="Valid"/>
    <n v="0.78729392842782464"/>
  </r>
  <r>
    <s v="2024-02-18"/>
    <x v="2"/>
    <s v="Seam 2"/>
    <s v="EX1200"/>
    <s v="Night"/>
    <n v="7846"/>
    <n v="3226"/>
    <n v="9.9"/>
    <n v="0.26"/>
    <n v="9.64"/>
    <x v="37"/>
    <x v="0"/>
    <s v="Valid"/>
    <n v="325.85858585858585"/>
    <n v="475.20000000000005"/>
    <s v="Valid"/>
    <n v="2.4321140731556108"/>
  </r>
  <r>
    <s v="2024-02-18"/>
    <x v="1"/>
    <s v="Seam 3"/>
    <s v="EX2500"/>
    <s v="Day"/>
    <n v="653"/>
    <n v="1706"/>
    <n v="6.41"/>
    <n v="1.81"/>
    <n v="4.5999999999999996"/>
    <x v="37"/>
    <x v="1"/>
    <s v="Valid"/>
    <n v="266.14664586583461"/>
    <n v="480.75"/>
    <s v="Valid"/>
    <n v="0.38276670574443145"/>
  </r>
  <r>
    <s v="2024-02-18"/>
    <x v="0"/>
    <s v="Seam 3"/>
    <s v="EX2500"/>
    <s v="Night"/>
    <n v="3640"/>
    <n v="4576"/>
    <n v="7.69"/>
    <n v="1.92"/>
    <n v="5.77"/>
    <x v="37"/>
    <x v="0"/>
    <s v="Valid"/>
    <n v="595.05851755526658"/>
    <n v="576.75"/>
    <s v="Valid"/>
    <n v="0.79545454545454541"/>
  </r>
  <r>
    <s v="2024-02-18"/>
    <x v="2"/>
    <s v="Seam 2"/>
    <s v="EX1100"/>
    <s v="Day"/>
    <n v="7713"/>
    <n v="5371"/>
    <n v="7.34"/>
    <n v="0.39"/>
    <n v="6.95"/>
    <x v="37"/>
    <x v="1"/>
    <s v="Valid"/>
    <n v="731.7438692098093"/>
    <n v="330.3"/>
    <s v="Valid"/>
    <n v="1.4360454291565816"/>
  </r>
  <r>
    <s v="2024-02-19"/>
    <x v="2"/>
    <s v="Seam 3"/>
    <s v="EX1100"/>
    <s v="Night"/>
    <n v="7669"/>
    <n v="5723"/>
    <n v="9.6999999999999993"/>
    <n v="0.65"/>
    <n v="9.0500000000000007"/>
    <x v="38"/>
    <x v="0"/>
    <s v="Valid"/>
    <n v="590"/>
    <n v="436.49999999999994"/>
    <s v="Valid"/>
    <n v="1.3400314520356456"/>
  </r>
  <r>
    <s v="2024-02-22"/>
    <x v="2"/>
    <s v="Seam 2"/>
    <s v="EX1200"/>
    <s v="Night"/>
    <n v="1925"/>
    <n v="1096"/>
    <n v="6.2"/>
    <n v="1.33"/>
    <n v="4.87"/>
    <x v="39"/>
    <x v="0"/>
    <s v="Valid"/>
    <n v="176.7741935483871"/>
    <n v="297.60000000000002"/>
    <s v="Valid"/>
    <n v="1.7563868613138687"/>
  </r>
  <r>
    <s v="2024-02-22"/>
    <x v="2"/>
    <s v="Seam 2"/>
    <s v="EX1200"/>
    <s v="Night"/>
    <n v="7839"/>
    <n v="984"/>
    <n v="7.87"/>
    <n v="0.41"/>
    <n v="7.46"/>
    <x v="39"/>
    <x v="0"/>
    <s v="Valid"/>
    <n v="125.03176620076239"/>
    <n v="377.76"/>
    <s v="Valid"/>
    <n v="7.9664634146341466"/>
  </r>
  <r>
    <s v="2024-02-22"/>
    <x v="2"/>
    <s v="Seam 3"/>
    <s v="EX1200"/>
    <s v="Day"/>
    <n v="6878"/>
    <n v="106"/>
    <n v="8.32"/>
    <n v="0.91"/>
    <n v="7.41"/>
    <x v="39"/>
    <x v="1"/>
    <s v="Valid"/>
    <n v="12.740384615384615"/>
    <n v="399.36"/>
    <s v="Valid"/>
    <n v="64.886792452830193"/>
  </r>
  <r>
    <s v="2024-02-23"/>
    <x v="0"/>
    <s v="Seam 2"/>
    <s v="EX2500"/>
    <s v="Night"/>
    <n v="204"/>
    <n v="4045"/>
    <n v="6.66"/>
    <n v="1.31"/>
    <n v="5.35"/>
    <x v="40"/>
    <x v="0"/>
    <s v="Valid"/>
    <n v="607.35735735735739"/>
    <n v="499.5"/>
    <s v="Valid"/>
    <n v="5.0432632880098888E-2"/>
  </r>
  <r>
    <s v="2024-02-25"/>
    <x v="1"/>
    <s v="Seam 3"/>
    <s v="EX1100"/>
    <s v="Day"/>
    <n v="7549"/>
    <n v="5053"/>
    <n v="5.6"/>
    <n v="0.21"/>
    <n v="5.39"/>
    <x v="41"/>
    <x v="1"/>
    <s v="Valid"/>
    <n v="902.32142857142867"/>
    <n v="251.99999999999997"/>
    <s v="Valid"/>
    <n v="1.4939639817929942"/>
  </r>
  <r>
    <s v="2024-02-25"/>
    <x v="2"/>
    <s v="Seam 2"/>
    <s v="EX2500"/>
    <s v="Night"/>
    <n v="7647"/>
    <n v="6080"/>
    <n v="6.82"/>
    <n v="0.7"/>
    <n v="6.12"/>
    <x v="41"/>
    <x v="0"/>
    <s v="Valid"/>
    <n v="891.49560117302053"/>
    <n v="511.5"/>
    <s v="Valid"/>
    <n v="1.2577302631578948"/>
  </r>
  <r>
    <s v="2024-02-26"/>
    <x v="1"/>
    <s v="Seam 3"/>
    <s v="EX2500"/>
    <s v="Night"/>
    <n v="2109"/>
    <n v="4478"/>
    <n v="4.33"/>
    <n v="1.38"/>
    <n v="2.95"/>
    <x v="42"/>
    <x v="0"/>
    <s v="Valid"/>
    <n v="1034.1801385681292"/>
    <n v="324.75"/>
    <s v="Valid"/>
    <n v="0.47096918267083521"/>
  </r>
  <r>
    <s v="2024-02-27"/>
    <x v="2"/>
    <s v="Seam 2"/>
    <s v="EX2500"/>
    <s v="Night"/>
    <n v="4650"/>
    <n v="3990"/>
    <n v="9.5399999999999991"/>
    <n v="1.51"/>
    <n v="8.0299999999999994"/>
    <x v="43"/>
    <x v="0"/>
    <s v="Valid"/>
    <n v="418.23899371069189"/>
    <n v="715.49999999999989"/>
    <s v="Valid"/>
    <n v="1.1654135338345866"/>
  </r>
  <r>
    <s v="2024-02-27"/>
    <x v="1"/>
    <s v="Seam 1"/>
    <s v="EX1200"/>
    <s v="Day"/>
    <n v="6717"/>
    <n v="1572"/>
    <n v="6.25"/>
    <n v="1.89"/>
    <n v="4.3600000000000003"/>
    <x v="43"/>
    <x v="1"/>
    <s v="Valid"/>
    <n v="251.52"/>
    <n v="300"/>
    <s v="Valid"/>
    <n v="4.2729007633587788"/>
  </r>
  <r>
    <s v="2024-02-27"/>
    <x v="1"/>
    <s v="Seam 2"/>
    <s v="EX1200"/>
    <s v="Night"/>
    <n v="2663"/>
    <n v="5520"/>
    <n v="5.88"/>
    <n v="0.89"/>
    <n v="4.99"/>
    <x v="43"/>
    <x v="0"/>
    <s v="Valid"/>
    <n v="938.77551020408168"/>
    <n v="282.24"/>
    <s v="Valid"/>
    <n v="0.48242753623188406"/>
  </r>
  <r>
    <s v="2024-02-28"/>
    <x v="2"/>
    <s v="Seam 3"/>
    <s v="EX2500"/>
    <s v="Day"/>
    <n v="7568"/>
    <n v="4206"/>
    <n v="8.2100000000000009"/>
    <n v="0.84"/>
    <n v="7.37"/>
    <x v="44"/>
    <x v="1"/>
    <s v="Valid"/>
    <n v="512.30207064555418"/>
    <n v="615.75000000000011"/>
    <s v="Valid"/>
    <n v="1.7993342843556823"/>
  </r>
  <r>
    <s v="2024-02-28"/>
    <x v="2"/>
    <s v="Seam 1"/>
    <s v="EX1200"/>
    <s v="Night"/>
    <n v="5430"/>
    <n v="178"/>
    <n v="6.24"/>
    <n v="1.47"/>
    <n v="4.7699999999999996"/>
    <x v="44"/>
    <x v="0"/>
    <s v="Valid"/>
    <n v="28.525641025641026"/>
    <n v="299.52"/>
    <s v="Valid"/>
    <n v="30.50561797752809"/>
  </r>
  <r>
    <s v="2024-02-29"/>
    <x v="2"/>
    <s v="Seam 1"/>
    <s v="EX1200"/>
    <s v="Night"/>
    <n v="680"/>
    <n v="2580"/>
    <n v="4.68"/>
    <n v="1.22"/>
    <n v="3.46"/>
    <x v="45"/>
    <x v="0"/>
    <s v="Valid"/>
    <n v="551.28205128205127"/>
    <n v="224.64"/>
    <s v="Valid"/>
    <n v="0.26356589147286824"/>
  </r>
  <r>
    <s v="2024-02-29"/>
    <x v="1"/>
    <s v="Seam 3"/>
    <s v="EX1200"/>
    <s v="Day"/>
    <n v="4431"/>
    <n v="4959"/>
    <n v="6.23"/>
    <n v="1.1499999999999999"/>
    <n v="5.08"/>
    <x v="45"/>
    <x v="1"/>
    <s v="Valid"/>
    <n v="795.98715890850713"/>
    <n v="299.04000000000002"/>
    <s v="Valid"/>
    <n v="0.89352692075015128"/>
  </r>
  <r>
    <s v="2024-03-01"/>
    <x v="0"/>
    <s v="Seam 1"/>
    <s v="EX2500"/>
    <s v="Night"/>
    <n v="6125"/>
    <n v="4468"/>
    <n v="6.57"/>
    <n v="0.66"/>
    <n v="5.91"/>
    <x v="46"/>
    <x v="0"/>
    <s v="Valid"/>
    <n v="680.06088280060885"/>
    <n v="492.75"/>
    <s v="Valid"/>
    <n v="1.3708594449418083"/>
  </r>
  <r>
    <s v="2024-03-01"/>
    <x v="1"/>
    <s v="Seam 3"/>
    <s v="EX1200"/>
    <s v="Day"/>
    <n v="7696"/>
    <n v="1475"/>
    <n v="4.8"/>
    <n v="1.18"/>
    <n v="3.62"/>
    <x v="46"/>
    <x v="1"/>
    <s v="Valid"/>
    <n v="307.29166666666669"/>
    <n v="230.39999999999998"/>
    <s v="Valid"/>
    <n v="5.2176271186440681"/>
  </r>
  <r>
    <s v="2024-03-01"/>
    <x v="0"/>
    <s v="Seam 2"/>
    <s v="EX1200"/>
    <s v="Night"/>
    <n v="1305"/>
    <n v="4560"/>
    <n v="5.07"/>
    <n v="0.37"/>
    <n v="4.7"/>
    <x v="46"/>
    <x v="0"/>
    <s v="Valid"/>
    <n v="899.40828402366856"/>
    <n v="243.36"/>
    <s v="Valid"/>
    <n v="0.28618421052631576"/>
  </r>
  <r>
    <s v="2024-03-02"/>
    <x v="1"/>
    <s v="Seam 1"/>
    <s v="EX1100"/>
    <s v="Night"/>
    <n v="1345"/>
    <n v="2991"/>
    <n v="8.98"/>
    <n v="0.48"/>
    <n v="8.5"/>
    <x v="47"/>
    <x v="0"/>
    <s v="Valid"/>
    <n v="333.07349665924272"/>
    <n v="404.1"/>
    <s v="Valid"/>
    <n v="0.44968238047475761"/>
  </r>
  <r>
    <s v="2024-03-02"/>
    <x v="0"/>
    <s v="Seam 3"/>
    <s v="EX2500"/>
    <s v="Day"/>
    <n v="5981"/>
    <n v="6829"/>
    <n v="4.92"/>
    <n v="1.46"/>
    <n v="3.46"/>
    <x v="47"/>
    <x v="1"/>
    <s v="Valid"/>
    <n v="1388.0081300813008"/>
    <n v="369"/>
    <s v="Valid"/>
    <n v="0.87582369307365648"/>
  </r>
  <r>
    <s v="2024-03-02"/>
    <x v="2"/>
    <s v="Seam 2"/>
    <s v="EX2500"/>
    <s v="Night"/>
    <n v="2342"/>
    <n v="4730"/>
    <n v="7.05"/>
    <n v="0.25"/>
    <n v="6.8"/>
    <x v="47"/>
    <x v="0"/>
    <s v="Valid"/>
    <n v="670.92198581560285"/>
    <n v="528.75"/>
    <s v="Valid"/>
    <n v="0.49513742071881606"/>
  </r>
  <r>
    <s v="2024-03-04"/>
    <x v="1"/>
    <s v="Seam 1"/>
    <s v="EX1100"/>
    <s v="Day"/>
    <n v="2122"/>
    <n v="6499"/>
    <n v="9.11"/>
    <n v="0.28999999999999998"/>
    <n v="8.82"/>
    <x v="48"/>
    <x v="1"/>
    <s v="Valid"/>
    <n v="713.3918770581779"/>
    <n v="409.95"/>
    <s v="Valid"/>
    <n v="0.32651177104169871"/>
  </r>
  <r>
    <s v="2024-03-05"/>
    <x v="1"/>
    <s v="Seam 3"/>
    <s v="EX1200"/>
    <s v="Day"/>
    <n v="4746"/>
    <n v="2902"/>
    <n v="4.88"/>
    <n v="1.2"/>
    <n v="3.68"/>
    <x v="49"/>
    <x v="1"/>
    <s v="Valid"/>
    <n v="594.67213114754099"/>
    <n v="234.24"/>
    <s v="Valid"/>
    <n v="1.6354238456237078"/>
  </r>
  <r>
    <s v="2024-03-05"/>
    <x v="1"/>
    <s v="Seam 2"/>
    <s v="EX2500"/>
    <s v="Night"/>
    <n v="4646"/>
    <n v="6633"/>
    <n v="8.1300000000000008"/>
    <n v="0.82"/>
    <n v="7.31"/>
    <x v="49"/>
    <x v="0"/>
    <s v="Valid"/>
    <n v="815.86715867158659"/>
    <n v="609.75000000000011"/>
    <s v="Valid"/>
    <n v="0.7004372078998945"/>
  </r>
  <r>
    <s v="2024-03-06"/>
    <x v="1"/>
    <s v="Seam 2"/>
    <s v="EX1100"/>
    <s v="Night"/>
    <n v="5891"/>
    <n v="2601"/>
    <n v="7.52"/>
    <n v="2"/>
    <n v="5.52"/>
    <x v="50"/>
    <x v="0"/>
    <s v="Valid"/>
    <n v="345.87765957446811"/>
    <n v="338.4"/>
    <s v="Valid"/>
    <n v="2.2648981161091886"/>
  </r>
  <r>
    <s v="2024-03-07"/>
    <x v="0"/>
    <s v="Seam 3"/>
    <s v="EX1200"/>
    <s v="Night"/>
    <n v="6813"/>
    <n v="1589"/>
    <n v="6.28"/>
    <n v="0.86"/>
    <n v="5.42"/>
    <x v="51"/>
    <x v="0"/>
    <s v="Valid"/>
    <n v="253.02547770700636"/>
    <n v="301.44"/>
    <s v="Valid"/>
    <n v="4.2876022655758339"/>
  </r>
  <r>
    <s v="2024-03-09"/>
    <x v="0"/>
    <s v="Seam 2"/>
    <s v="EX1200"/>
    <s v="Night"/>
    <n v="6864"/>
    <n v="455"/>
    <n v="8.11"/>
    <n v="1.58"/>
    <n v="6.53"/>
    <x v="52"/>
    <x v="0"/>
    <s v="Valid"/>
    <n v="56.1035758323058"/>
    <n v="389.28"/>
    <s v="Valid"/>
    <n v="15.085714285714285"/>
  </r>
  <r>
    <s v="2024-03-09"/>
    <x v="2"/>
    <s v="Seam 3"/>
    <s v="EX2500"/>
    <s v="Day"/>
    <n v="7832"/>
    <n v="6630"/>
    <n v="6.29"/>
    <n v="1.53"/>
    <n v="4.76"/>
    <x v="52"/>
    <x v="1"/>
    <s v="Valid"/>
    <n v="1054.0540540540539"/>
    <n v="471.75"/>
    <s v="Valid"/>
    <n v="1.1812971342383107"/>
  </r>
  <r>
    <s v="2024-03-09"/>
    <x v="1"/>
    <s v="Seam 1"/>
    <s v="EX1200"/>
    <s v="Evening"/>
    <n v="4816"/>
    <n v="1936"/>
    <n v="8.69"/>
    <n v="1.75"/>
    <n v="6.94"/>
    <x v="52"/>
    <x v="0"/>
    <s v="Valid"/>
    <n v="222.7848101265823"/>
    <n v="417.12"/>
    <s v="Valid"/>
    <n v="2.4876033057851239"/>
  </r>
  <r>
    <s v="2024-03-10"/>
    <x v="0"/>
    <s v="Seam 2"/>
    <s v="EX1200"/>
    <s v="Night"/>
    <n v="3975"/>
    <n v="715"/>
    <n v="5.37"/>
    <n v="0.45"/>
    <n v="4.92"/>
    <x v="53"/>
    <x v="0"/>
    <s v="Valid"/>
    <n v="133.14711359404097"/>
    <n v="257.76"/>
    <s v="Valid"/>
    <n v="5.5594405594405591"/>
  </r>
  <r>
    <s v="2024-03-10"/>
    <x v="1"/>
    <s v="Seam 1"/>
    <s v="EX2500"/>
    <s v="Day"/>
    <n v="8555"/>
    <n v="4093"/>
    <n v="8.85"/>
    <n v="0.72"/>
    <n v="8.1300000000000008"/>
    <x v="53"/>
    <x v="1"/>
    <s v="Valid"/>
    <n v="462.4858757062147"/>
    <n v="663.75"/>
    <s v="Valid"/>
    <n v="2.0901539213290983"/>
  </r>
  <r>
    <s v="2024-03-11"/>
    <x v="0"/>
    <s v="Seam 1"/>
    <s v="EX1200"/>
    <s v="Night"/>
    <n v="4148"/>
    <n v="611"/>
    <n v="9.7200000000000006"/>
    <n v="0.26"/>
    <n v="9.4600000000000009"/>
    <x v="54"/>
    <x v="0"/>
    <s v="Valid"/>
    <n v="62.860082304526742"/>
    <n v="466.56000000000006"/>
    <s v="Valid"/>
    <n v="6.7888707037643208"/>
  </r>
  <r>
    <s v="2024-03-11"/>
    <x v="0"/>
    <s v="Seam 1"/>
    <s v="EX1100"/>
    <s v="Night"/>
    <n v="1176"/>
    <n v="2166"/>
    <n v="6.88"/>
    <n v="0.91"/>
    <n v="5.97"/>
    <x v="54"/>
    <x v="0"/>
    <s v="Valid"/>
    <n v="314.82558139534882"/>
    <n v="309.60000000000002"/>
    <s v="Valid"/>
    <n v="0.54293628808864269"/>
  </r>
  <r>
    <s v="2024-03-11"/>
    <x v="2"/>
    <s v="Seam 1"/>
    <s v="EX1200"/>
    <s v="Day"/>
    <n v="7515"/>
    <n v="6694"/>
    <n v="9.9600000000000009"/>
    <n v="0.57999999999999996"/>
    <n v="9.3800000000000008"/>
    <x v="54"/>
    <x v="1"/>
    <s v="Valid"/>
    <n v="672.08835341365454"/>
    <n v="478.08000000000004"/>
    <s v="Valid"/>
    <n v="1.1226471466985359"/>
  </r>
  <r>
    <s v="2024-03-11"/>
    <x v="1"/>
    <s v="Seam 2"/>
    <s v="EX2500"/>
    <s v="Day"/>
    <n v="3022"/>
    <n v="2413"/>
    <n v="5.17"/>
    <n v="0.24"/>
    <n v="4.93"/>
    <x v="54"/>
    <x v="1"/>
    <s v="Valid"/>
    <n v="466.73114119922633"/>
    <n v="387.75"/>
    <s v="Valid"/>
    <n v="1.2523829258184833"/>
  </r>
  <r>
    <s v="2024-03-12"/>
    <x v="0"/>
    <s v="Seam 1"/>
    <s v="EX2500"/>
    <s v="Day"/>
    <n v="665"/>
    <n v="1955"/>
    <n v="4.79"/>
    <n v="0.49"/>
    <n v="4.3"/>
    <x v="55"/>
    <x v="1"/>
    <s v="Valid"/>
    <n v="408.14196242171192"/>
    <n v="359.25"/>
    <s v="Valid"/>
    <n v="0.34015345268542202"/>
  </r>
  <r>
    <s v="2024/13/40"/>
    <x v="1"/>
    <s v="Seam 2"/>
    <s v="EX2500"/>
    <s v="Day"/>
    <n v="2517"/>
    <n v="2861"/>
    <n v="8.2899999999999991"/>
    <n v="1.98"/>
    <n v="6.31"/>
    <x v="55"/>
    <x v="1"/>
    <s v="Valid"/>
    <n v="345.11459589867314"/>
    <n v="621.74999999999989"/>
    <s v="Valid"/>
    <n v="0.87976232086682982"/>
  </r>
  <r>
    <s v="2024-03-13"/>
    <x v="1"/>
    <s v="Seam 3"/>
    <s v="EX2500"/>
    <s v="Night"/>
    <n v="8259"/>
    <n v="4855"/>
    <n v="4.7"/>
    <n v="0.02"/>
    <n v="4.68"/>
    <x v="56"/>
    <x v="0"/>
    <s v="Valid"/>
    <n v="1032.9787234042553"/>
    <n v="352.5"/>
    <s v="Valid"/>
    <n v="1.7011328527291452"/>
  </r>
  <r>
    <s v="2024-03-13"/>
    <x v="1"/>
    <s v="Seam 1"/>
    <s v="EX2500"/>
    <s v="Day"/>
    <n v="8357"/>
    <n v="5548"/>
    <n v="7.02"/>
    <n v="1"/>
    <n v="6.02"/>
    <x v="56"/>
    <x v="1"/>
    <s v="Valid"/>
    <n v="790.31339031339041"/>
    <n v="526.5"/>
    <s v="Valid"/>
    <n v="1.5063085796683489"/>
  </r>
  <r>
    <s v="2024-03-14"/>
    <x v="1"/>
    <s v="Seam 3"/>
    <s v="EX2500"/>
    <s v="Night"/>
    <n v="8083"/>
    <n v="3127"/>
    <n v="9.2799999999999994"/>
    <n v="1.96"/>
    <n v="7.32"/>
    <x v="57"/>
    <x v="0"/>
    <s v="Valid"/>
    <n v="336.96120689655174"/>
    <n v="696"/>
    <s v="Valid"/>
    <n v="2.5849056603773586"/>
  </r>
  <r>
    <s v="2024-03-14"/>
    <x v="1"/>
    <s v="Seam 2"/>
    <s v="EX2500"/>
    <s v="Day"/>
    <n v="5632"/>
    <n v="3558"/>
    <n v="9.18"/>
    <n v="1.72"/>
    <n v="7.46"/>
    <x v="57"/>
    <x v="1"/>
    <s v="Valid"/>
    <n v="387.58169934640523"/>
    <n v="688.5"/>
    <s v="Valid"/>
    <n v="1.582911748173131"/>
  </r>
  <r>
    <s v="2024-03-14"/>
    <x v="0"/>
    <s v="Seam 3"/>
    <s v="EX2500"/>
    <s v="Night"/>
    <n v="8083"/>
    <n v="3127"/>
    <n v="9.2799999999999994"/>
    <n v="1.96"/>
    <n v="7.32"/>
    <x v="57"/>
    <x v="0"/>
    <s v="Valid"/>
    <n v="336.96120689655174"/>
    <n v="696"/>
    <s v="Valid"/>
    <n v="2.5849056603773586"/>
  </r>
  <r>
    <s v="2024-03-16"/>
    <x v="0"/>
    <s v="Seam 3"/>
    <s v="EX1200"/>
    <s v="Day"/>
    <n v="716"/>
    <n v="3026"/>
    <n v="9.6199999999999992"/>
    <n v="0.9"/>
    <n v="8.7200000000000006"/>
    <x v="58"/>
    <x v="1"/>
    <s v="Valid"/>
    <n v="314.55301455301458"/>
    <n v="461.76"/>
    <s v="Valid"/>
    <n v="0.23661599471249173"/>
  </r>
  <r>
    <s v="2024-03-17"/>
    <x v="0"/>
    <s v="Seam 2"/>
    <s v="EX1200"/>
    <s v="Night"/>
    <n v="6492"/>
    <n v="3242"/>
    <n v="9.83"/>
    <n v="1.76"/>
    <n v="8.07"/>
    <x v="59"/>
    <x v="0"/>
    <s v="Valid"/>
    <n v="329.80671414038659"/>
    <n v="471.84000000000003"/>
    <s v="Valid"/>
    <n v="2.002467612584824"/>
  </r>
  <r>
    <s v="2024-03-17"/>
    <x v="1"/>
    <s v="Seam 3"/>
    <s v="EX1200"/>
    <s v="Night"/>
    <n v="7595"/>
    <n v="6414"/>
    <n v="6.28"/>
    <n v="1.55"/>
    <n v="4.7300000000000004"/>
    <x v="59"/>
    <x v="0"/>
    <s v="Valid"/>
    <n v="1021.3375796178343"/>
    <n v="301.44"/>
    <s v="Valid"/>
    <n v="1.1841284689741192"/>
  </r>
  <r>
    <s v="2024-03-18"/>
    <x v="0"/>
    <s v="Seam 2"/>
    <s v="EX2500"/>
    <s v="Day"/>
    <n v="5176"/>
    <n v="1738"/>
    <n v="4.4400000000000004"/>
    <n v="1.3"/>
    <n v="3.14"/>
    <x v="60"/>
    <x v="1"/>
    <s v="Valid"/>
    <n v="391.44144144144138"/>
    <n v="333.00000000000006"/>
    <s v="Valid"/>
    <n v="2.9781357882623705"/>
  </r>
  <r>
    <s v="2024-03-19"/>
    <x v="2"/>
    <s v="Seam 3"/>
    <s v="EX1200"/>
    <s v="Evening"/>
    <n v="5957"/>
    <n v="6422"/>
    <n v="6.14"/>
    <n v="0.99"/>
    <n v="5.15"/>
    <x v="61"/>
    <x v="0"/>
    <s v="Valid"/>
    <n v="1045.9283387622149"/>
    <n v="294.71999999999997"/>
    <s v="Valid"/>
    <n v="0.92759265026471505"/>
  </r>
  <r>
    <s v="2024/13/40"/>
    <x v="2"/>
    <s v="Seam 1"/>
    <s v="EX2500"/>
    <s v="Day"/>
    <n v="717"/>
    <n v="852"/>
    <n v="8.98"/>
    <n v="1.24"/>
    <n v="7.74"/>
    <x v="62"/>
    <x v="1"/>
    <s v="Valid"/>
    <n v="94.877505567928722"/>
    <n v="673.5"/>
    <s v="Valid"/>
    <n v="0.84154929577464788"/>
  </r>
  <r>
    <s v="2024-03-20"/>
    <x v="2"/>
    <s v="Seam 1"/>
    <s v="EX2500"/>
    <s v="Day"/>
    <n v="6914"/>
    <n v="1103"/>
    <n v="4.28"/>
    <n v="0.13"/>
    <n v="4.1500000000000004"/>
    <x v="62"/>
    <x v="1"/>
    <s v="Valid"/>
    <n v="257.71028037383178"/>
    <n v="321"/>
    <s v="Valid"/>
    <n v="6.2683590208522215"/>
  </r>
  <r>
    <s v="2024-03-22"/>
    <x v="1"/>
    <s v="Seam 1"/>
    <s v="EX2500"/>
    <s v="Night"/>
    <n v="1519"/>
    <n v="4303"/>
    <n v="4.2699999999999996"/>
    <n v="1.55"/>
    <n v="2.72"/>
    <x v="63"/>
    <x v="0"/>
    <s v="Valid"/>
    <n v="1007.728337236534"/>
    <n v="320.24999999999994"/>
    <s v="Valid"/>
    <n v="0.35300952823611431"/>
  </r>
  <r>
    <s v="2024-03-23"/>
    <x v="2"/>
    <s v="Seam 3"/>
    <s v="EX2500"/>
    <s v="Night"/>
    <n v="2153"/>
    <n v="3813"/>
    <n v="7.1"/>
    <n v="0.23"/>
    <n v="6.87"/>
    <x v="64"/>
    <x v="0"/>
    <s v="Valid"/>
    <n v="537.04225352112678"/>
    <n v="532.5"/>
    <s v="Valid"/>
    <n v="0.56464725937581961"/>
  </r>
  <r>
    <s v="2024-03-23"/>
    <x v="1"/>
    <s v="Seam 1"/>
    <s v="EX1100"/>
    <s v="Day"/>
    <n v="2254"/>
    <n v="4051"/>
    <n v="4.03"/>
    <n v="1.25"/>
    <n v="2.78"/>
    <x v="64"/>
    <x v="1"/>
    <s v="Valid"/>
    <n v="1005.2109181141439"/>
    <n v="181.35000000000002"/>
    <s v="Valid"/>
    <n v="0.55640582572204389"/>
  </r>
  <r>
    <s v="2024-03-23"/>
    <x v="0"/>
    <s v="Seam 2"/>
    <s v="EX2500"/>
    <s v="Night"/>
    <n v="5965"/>
    <n v="2763"/>
    <n v="5.42"/>
    <n v="0.97"/>
    <n v="4.45"/>
    <x v="64"/>
    <x v="0"/>
    <s v="Valid"/>
    <n v="509.77859778597787"/>
    <n v="406.5"/>
    <s v="Valid"/>
    <n v="2.1588852696344554"/>
  </r>
  <r>
    <s v="2024-03-24"/>
    <x v="2"/>
    <s v="Seam 3"/>
    <s v="EX2500"/>
    <s v="Day"/>
    <n v="2184"/>
    <n v="5949"/>
    <n v="4.46"/>
    <n v="0.72"/>
    <n v="3.74"/>
    <x v="65"/>
    <x v="1"/>
    <s v="Valid"/>
    <n v="1333.8565022421524"/>
    <n v="334.5"/>
    <s v="Valid"/>
    <n v="0.36712052445789206"/>
  </r>
  <r>
    <s v="2024-03-24"/>
    <x v="0"/>
    <s v="Seam 3"/>
    <s v="EX1100"/>
    <s v="Night"/>
    <n v="7218"/>
    <n v="2694"/>
    <n v="6.13"/>
    <n v="1.37"/>
    <n v="4.76"/>
    <x v="65"/>
    <x v="0"/>
    <s v="Valid"/>
    <n v="439.4779771615008"/>
    <n v="275.85000000000002"/>
    <s v="Valid"/>
    <n v="2.6792873051224944"/>
  </r>
  <r>
    <s v="2024-03-24"/>
    <x v="0"/>
    <s v="Seam 2"/>
    <s v="EX1200"/>
    <s v="Night"/>
    <n v="4331"/>
    <n v="5542"/>
    <n v="5.32"/>
    <n v="0.56000000000000005"/>
    <n v="4.76"/>
    <x v="65"/>
    <x v="0"/>
    <s v="Valid"/>
    <n v="1041.7293233082705"/>
    <n v="255.36"/>
    <s v="Valid"/>
    <n v="0.78148682785997836"/>
  </r>
  <r>
    <s v="2024-03-27"/>
    <x v="1"/>
    <s v="Seam 3"/>
    <s v="EX2500"/>
    <s v="Day"/>
    <n v="8445"/>
    <n v="1911"/>
    <n v="8.48"/>
    <n v="0.5"/>
    <n v="7.98"/>
    <x v="66"/>
    <x v="1"/>
    <s v="Valid"/>
    <n v="225.35377358490564"/>
    <n v="636"/>
    <s v="Valid"/>
    <n v="4.4191522762951339"/>
  </r>
  <r>
    <s v="2024-03-27"/>
    <x v="2"/>
    <s v="Seam 1"/>
    <s v="EX1200"/>
    <s v="Day"/>
    <n v="5428"/>
    <n v="2019"/>
    <n v="4.01"/>
    <n v="0.55000000000000004"/>
    <n v="3.46"/>
    <x v="66"/>
    <x v="1"/>
    <s v="Valid"/>
    <n v="503.4912718204489"/>
    <n v="192.48"/>
    <s v="Valid"/>
    <n v="2.688459633481922"/>
  </r>
  <r>
    <s v="2024-03-27"/>
    <x v="2"/>
    <s v="Seam 2"/>
    <s v="EX1100"/>
    <s v="Day"/>
    <n v="8662"/>
    <n v="3819"/>
    <n v="8.57"/>
    <n v="1.56"/>
    <n v="7.01"/>
    <x v="66"/>
    <x v="1"/>
    <s v="Valid"/>
    <n v="445.6242707117853"/>
    <n v="385.65000000000003"/>
    <s v="Valid"/>
    <n v="2.2681330191149516"/>
  </r>
  <r>
    <s v="2024-03-27"/>
    <x v="2"/>
    <s v="Seam 2"/>
    <s v="EX1200"/>
    <s v="Day"/>
    <n v="8967"/>
    <n v="6387"/>
    <n v="9.07"/>
    <n v="0.27"/>
    <n v="8.8000000000000007"/>
    <x v="66"/>
    <x v="1"/>
    <s v="Valid"/>
    <n v="704.18963616317524"/>
    <n v="435.36"/>
    <s v="Valid"/>
    <n v="1.4039455143259747"/>
  </r>
  <r>
    <s v="2024-03-28"/>
    <x v="2"/>
    <s v="Seam 3"/>
    <s v="EX1200"/>
    <s v="Day"/>
    <n v="8012"/>
    <n v="4446"/>
    <n v="5.23"/>
    <n v="1.77"/>
    <n v="3.46"/>
    <x v="67"/>
    <x v="1"/>
    <s v="Valid"/>
    <n v="850.09560229445503"/>
    <n v="251.04000000000002"/>
    <s v="Valid"/>
    <n v="1.8020692757534862"/>
  </r>
  <r>
    <s v="2024-03-29"/>
    <x v="1"/>
    <s v="Seam 1"/>
    <s v="EX1200"/>
    <s v="Night"/>
    <n v="6156"/>
    <n v="621"/>
    <n v="9.0399999999999991"/>
    <n v="0.55000000000000004"/>
    <n v="8.49"/>
    <x v="68"/>
    <x v="0"/>
    <s v="Valid"/>
    <n v="68.694690265486727"/>
    <n v="433.91999999999996"/>
    <s v="Valid"/>
    <n v="9.9130434782608692"/>
  </r>
  <r>
    <s v="2024-03-30"/>
    <x v="0"/>
    <s v="Seam 2"/>
    <s v="EX1200"/>
    <s v="Day"/>
    <n v="1466"/>
    <n v="901"/>
    <n v="9.8800000000000008"/>
    <n v="1.45"/>
    <n v="8.43"/>
    <x v="69"/>
    <x v="1"/>
    <s v="Valid"/>
    <n v="91.194331983805654"/>
    <n v="474.24"/>
    <s v="Valid"/>
    <n v="1.6270810210876803"/>
  </r>
  <r>
    <s v="2024-03-30"/>
    <x v="0"/>
    <s v="Seam 3"/>
    <s v="EX2500"/>
    <s v="Day"/>
    <n v="615"/>
    <n v="2232"/>
    <n v="7.74"/>
    <n v="1.17"/>
    <n v="6.57"/>
    <x v="69"/>
    <x v="1"/>
    <s v="Valid"/>
    <n v="288.37209302325579"/>
    <n v="580.5"/>
    <s v="Valid"/>
    <n v="0.27553763440860213"/>
  </r>
  <r>
    <s v="2024-03-31"/>
    <x v="1"/>
    <s v="Seam 3"/>
    <s v="EX1200"/>
    <s v="Night"/>
    <n v="1535"/>
    <n v="1926"/>
    <n v="6.81"/>
    <n v="0.06"/>
    <n v="6.75"/>
    <x v="70"/>
    <x v="0"/>
    <s v="Valid"/>
    <n v="282.81938325991189"/>
    <n v="326.88"/>
    <s v="Valid"/>
    <n v="0.79698857736240913"/>
  </r>
  <r>
    <s v="2024-03-31"/>
    <x v="0"/>
    <s v="Seam 1"/>
    <s v="EX1200"/>
    <s v="Day"/>
    <n v="5765"/>
    <n v="211"/>
    <n v="8.08"/>
    <n v="1.56"/>
    <n v="6.52"/>
    <x v="70"/>
    <x v="1"/>
    <s v="Valid"/>
    <n v="26.113861386138613"/>
    <n v="387.84000000000003"/>
    <s v="Valid"/>
    <n v="27.32227488151658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s v="2024-01-01"/>
    <x v="0"/>
    <n v="3.85"/>
    <n v="8.6300000000000008"/>
    <n v="27"/>
    <n v="85.69"/>
    <x v="0"/>
    <n v="3.1737037037037035"/>
    <x v="0"/>
  </r>
  <r>
    <s v="2024-01-03"/>
    <x v="0"/>
    <n v="3.86"/>
    <n v="9.33"/>
    <n v="43"/>
    <n v="135.66999999999999"/>
    <x v="1"/>
    <n v="3.1551162790697673"/>
    <x v="0"/>
  </r>
  <r>
    <s v="2024-01-03"/>
    <x v="1"/>
    <n v="6.1"/>
    <n v="11.43"/>
    <n v="20"/>
    <n v="50.09"/>
    <x v="1"/>
    <n v="2.5045000000000002"/>
    <x v="1"/>
  </r>
  <r>
    <s v="2024-01-04"/>
    <x v="2"/>
    <n v="4.9400000000000004"/>
    <n v="8.73"/>
    <n v="42"/>
    <n v="118.19"/>
    <x v="2"/>
    <n v="2.8140476190476189"/>
    <x v="0"/>
  </r>
  <r>
    <s v="2024-01-04"/>
    <x v="3"/>
    <n v="4.08"/>
    <n v="5.88"/>
    <n v="32"/>
    <n v="103.67"/>
    <x v="2"/>
    <n v="3.2396875000000001"/>
    <x v="0"/>
  </r>
  <r>
    <s v="2024-01-07"/>
    <x v="3"/>
    <n v="3.52"/>
    <n v="8.7100000000000009"/>
    <n v="20"/>
    <n v="66.83"/>
    <x v="3"/>
    <n v="3.3414999999999999"/>
    <x v="0"/>
  </r>
  <r>
    <s v="2024-01-07"/>
    <x v="2"/>
    <n v="5.93"/>
    <n v="9.0299999999999994"/>
    <n v="16"/>
    <n v="32.380000000000003"/>
    <x v="3"/>
    <n v="2.0237500000000002"/>
    <x v="0"/>
  </r>
  <r>
    <s v="2024-01-07"/>
    <x v="4"/>
    <n v="5.1100000000000003"/>
    <n v="8.66"/>
    <n v="45"/>
    <n v="135.11000000000001"/>
    <x v="3"/>
    <n v="3.0024444444444449"/>
    <x v="0"/>
  </r>
  <r>
    <s v="2024-01-07"/>
    <x v="2"/>
    <n v="3.34"/>
    <n v="13.06"/>
    <n v="27"/>
    <n v="69.2"/>
    <x v="3"/>
    <n v="2.5629629629629629"/>
    <x v="1"/>
  </r>
  <r>
    <s v="2024-01-07"/>
    <x v="2"/>
    <n v="7.98"/>
    <n v="9.5299999999999994"/>
    <n v="32"/>
    <n v="73.959999999999994"/>
    <x v="3"/>
    <n v="2.3112499999999998"/>
    <x v="0"/>
  </r>
  <r>
    <s v="2024-01-07"/>
    <x v="3"/>
    <n v="2.04"/>
    <n v="14.75"/>
    <n v="19"/>
    <n v="53.08"/>
    <x v="3"/>
    <n v="2.7936842105263158"/>
    <x v="1"/>
  </r>
  <r>
    <s v="2024-01-08"/>
    <x v="0"/>
    <n v="6.12"/>
    <n v="11.28"/>
    <n v="32"/>
    <n v="67.489999999999995"/>
    <x v="4"/>
    <n v="2.1090624999999998"/>
    <x v="1"/>
  </r>
  <r>
    <s v="2024-01-08"/>
    <x v="0"/>
    <n v="3.11"/>
    <n v="14.21"/>
    <n v="13"/>
    <n v="23.78"/>
    <x v="4"/>
    <n v="1.8292307692307692"/>
    <x v="1"/>
  </r>
  <r>
    <s v="2024-01-08"/>
    <x v="4"/>
    <n v="2.35"/>
    <n v="9.9700000000000006"/>
    <n v="25"/>
    <n v="74.459999999999994"/>
    <x v="4"/>
    <n v="2.9783999999999997"/>
    <x v="0"/>
  </r>
  <r>
    <s v="2024-01-08"/>
    <x v="1"/>
    <n v="2.29"/>
    <n v="7.23"/>
    <n v="41"/>
    <n v="83.81"/>
    <x v="4"/>
    <n v="2.0441463414634149"/>
    <x v="0"/>
  </r>
  <r>
    <s v="2024-01-10"/>
    <x v="0"/>
    <n v="4.68"/>
    <n v="8.76"/>
    <n v="25"/>
    <n v="59.96"/>
    <x v="5"/>
    <n v="2.3984000000000001"/>
    <x v="0"/>
  </r>
  <r>
    <s v="2024-01-10"/>
    <x v="4"/>
    <n v="5.32"/>
    <n v="7.89"/>
    <n v="35"/>
    <n v="118.77"/>
    <x v="5"/>
    <n v="3.3934285714285712"/>
    <x v="0"/>
  </r>
  <r>
    <s v="2024-01-10"/>
    <x v="0"/>
    <n v="6.61"/>
    <n v="12.22"/>
    <n v="39"/>
    <n v="78.209999999999994"/>
    <x v="5"/>
    <n v="2.0053846153846151"/>
    <x v="1"/>
  </r>
  <r>
    <s v="2024-01-11"/>
    <x v="1"/>
    <n v="4.05"/>
    <n v="9.0299999999999994"/>
    <n v="16"/>
    <n v="32.619999999999997"/>
    <x v="6"/>
    <n v="2.0387499999999998"/>
    <x v="0"/>
  </r>
  <r>
    <s v="2024-01-12"/>
    <x v="1"/>
    <n v="6.56"/>
    <n v="7.02"/>
    <n v="35"/>
    <n v="71.319999999999993"/>
    <x v="7"/>
    <n v="2.0377142857142854"/>
    <x v="0"/>
  </r>
  <r>
    <s v="2024-01-12"/>
    <x v="1"/>
    <n v="7.97"/>
    <n v="7.7"/>
    <n v="18"/>
    <n v="56.19"/>
    <x v="7"/>
    <n v="3.1216666666666666"/>
    <x v="0"/>
  </r>
  <r>
    <s v="2024-01-12"/>
    <x v="3"/>
    <n v="4.04"/>
    <n v="5.52"/>
    <n v="30"/>
    <n v="78.599999999999994"/>
    <x v="7"/>
    <n v="2.6199999999999997"/>
    <x v="0"/>
  </r>
  <r>
    <s v="2024-01-12"/>
    <x v="0"/>
    <n v="6.61"/>
    <n v="12.47"/>
    <n v="41"/>
    <n v="137.43"/>
    <x v="7"/>
    <n v="3.3519512195121952"/>
    <x v="1"/>
  </r>
  <r>
    <s v="2024-01-14"/>
    <x v="2"/>
    <n v="6.63"/>
    <n v="7.09"/>
    <n v="18"/>
    <n v="55.57"/>
    <x v="8"/>
    <n v="3.0872222222222221"/>
    <x v="0"/>
  </r>
  <r>
    <s v="2024-01-16"/>
    <x v="2"/>
    <n v="2.93"/>
    <n v="7.68"/>
    <n v="30"/>
    <n v="94.86"/>
    <x v="9"/>
    <n v="3.1619999999999999"/>
    <x v="0"/>
  </r>
  <r>
    <s v="2024-01-16"/>
    <x v="0"/>
    <n v="7.15"/>
    <n v="12.13"/>
    <n v="40"/>
    <n v="123.03"/>
    <x v="9"/>
    <n v="3.0757500000000002"/>
    <x v="1"/>
  </r>
  <r>
    <s v="2024-01-16"/>
    <x v="4"/>
    <n v="3.84"/>
    <n v="11.16"/>
    <n v="27"/>
    <n v="64.8"/>
    <x v="9"/>
    <n v="2.4"/>
    <x v="1"/>
  </r>
  <r>
    <s v="2024-01-17"/>
    <x v="4"/>
    <n v="7.85"/>
    <n v="9.75"/>
    <n v="36"/>
    <n v="81.66"/>
    <x v="10"/>
    <n v="2.2683333333333331"/>
    <x v="0"/>
  </r>
  <r>
    <s v="2024-01-17"/>
    <x v="4"/>
    <n v="5.0199999999999996"/>
    <n v="6.06"/>
    <n v="43"/>
    <n v="119.57"/>
    <x v="10"/>
    <n v="2.7806976744186045"/>
    <x v="0"/>
  </r>
  <r>
    <s v="2024-01-17"/>
    <x v="2"/>
    <n v="4.3600000000000003"/>
    <n v="11.31"/>
    <n v="29"/>
    <n v="56.56"/>
    <x v="10"/>
    <n v="1.950344827586207"/>
    <x v="1"/>
  </r>
  <r>
    <s v="2024-01-18"/>
    <x v="4"/>
    <n v="2.96"/>
    <n v="6.6"/>
    <n v="30"/>
    <n v="73.319999999999993"/>
    <x v="11"/>
    <n v="2.444"/>
    <x v="0"/>
  </r>
  <r>
    <s v="2024-01-20"/>
    <x v="3"/>
    <n v="5.33"/>
    <n v="7.31"/>
    <n v="8"/>
    <n v="15.8"/>
    <x v="12"/>
    <n v="1.9750000000000001"/>
    <x v="0"/>
  </r>
  <r>
    <s v="2024-01-20"/>
    <x v="4"/>
    <n v="4.38"/>
    <n v="11.49"/>
    <n v="27"/>
    <n v="79.290000000000006"/>
    <x v="12"/>
    <n v="2.936666666666667"/>
    <x v="1"/>
  </r>
  <r>
    <s v="2024-01-21"/>
    <x v="4"/>
    <n v="3.38"/>
    <n v="8.4700000000000006"/>
    <n v="17"/>
    <n v="44.31"/>
    <x v="13"/>
    <n v="2.6064705882352941"/>
    <x v="0"/>
  </r>
  <r>
    <s v="2024-01-21"/>
    <x v="0"/>
    <n v="5.24"/>
    <n v="9.4600000000000009"/>
    <n v="18"/>
    <n v="51.6"/>
    <x v="13"/>
    <n v="2.8666666666666667"/>
    <x v="0"/>
  </r>
  <r>
    <s v="2024-01-23"/>
    <x v="3"/>
    <n v="5.94"/>
    <n v="8.99"/>
    <n v="9"/>
    <n v="21.06"/>
    <x v="14"/>
    <n v="2.34"/>
    <x v="0"/>
  </r>
  <r>
    <s v="2024-01-23"/>
    <x v="1"/>
    <n v="6.05"/>
    <n v="7.19"/>
    <n v="19"/>
    <n v="58.83"/>
    <x v="14"/>
    <n v="3.0963157894736839"/>
    <x v="0"/>
  </r>
  <r>
    <s v="2024-01-24"/>
    <x v="0"/>
    <n v="7.97"/>
    <n v="7.52"/>
    <n v="23"/>
    <n v="54.97"/>
    <x v="15"/>
    <n v="2.39"/>
    <x v="0"/>
  </r>
  <r>
    <s v="2024-01-24"/>
    <x v="2"/>
    <n v="2.09"/>
    <n v="10.220000000000001"/>
    <n v="40"/>
    <n v="118.19"/>
    <x v="15"/>
    <n v="2.9547499999999998"/>
    <x v="1"/>
  </r>
  <r>
    <s v="2024-01-25"/>
    <x v="0"/>
    <n v="4.4800000000000004"/>
    <n v="10.119999999999999"/>
    <n v="37"/>
    <n v="94.68"/>
    <x v="16"/>
    <n v="2.558918918918919"/>
    <x v="1"/>
  </r>
  <r>
    <s v="2024-01-25"/>
    <x v="2"/>
    <n v="4.8899999999999997"/>
    <n v="14.96"/>
    <n v="41"/>
    <n v="137.61000000000001"/>
    <x v="16"/>
    <n v="3.3563414634146347"/>
    <x v="1"/>
  </r>
  <r>
    <s v="2024-01-25"/>
    <x v="2"/>
    <n v="7.65"/>
    <n v="5.46"/>
    <n v="45"/>
    <n v="83.1"/>
    <x v="16"/>
    <n v="1.8466666666666665"/>
    <x v="0"/>
  </r>
  <r>
    <s v="2024-01-25"/>
    <x v="2"/>
    <n v="5.66"/>
    <n v="5.0599999999999996"/>
    <n v="26"/>
    <n v="66.459999999999994"/>
    <x v="16"/>
    <n v="2.5561538461538458"/>
    <x v="0"/>
  </r>
  <r>
    <s v="2024/13/40"/>
    <x v="0"/>
    <n v="4.9400000000000004"/>
    <n v="9.0299999999999994"/>
    <n v="21"/>
    <n v="47.13"/>
    <x v="16"/>
    <n v="2.2442857142857142"/>
    <x v="0"/>
  </r>
  <r>
    <s v="2024-01-27"/>
    <x v="1"/>
    <n v="6.41"/>
    <n v="6.49"/>
    <n v="31"/>
    <n v="61.35"/>
    <x v="17"/>
    <n v="1.9790322580645161"/>
    <x v="0"/>
  </r>
  <r>
    <s v="2024-01-28"/>
    <x v="3"/>
    <n v="6.9"/>
    <n v="14.54"/>
    <n v="34"/>
    <n v="80.61"/>
    <x v="18"/>
    <n v="2.3708823529411767"/>
    <x v="1"/>
  </r>
  <r>
    <s v="2024-01-28"/>
    <x v="1"/>
    <n v="7.45"/>
    <n v="13.52"/>
    <n v="15"/>
    <n v="27.7"/>
    <x v="18"/>
    <n v="1.8466666666666667"/>
    <x v="1"/>
  </r>
  <r>
    <s v="2024-01-30"/>
    <x v="4"/>
    <n v="7.57"/>
    <n v="7.78"/>
    <n v="41"/>
    <n v="123.39"/>
    <x v="19"/>
    <n v="3.0095121951219515"/>
    <x v="0"/>
  </r>
  <r>
    <s v="2024-01-31"/>
    <x v="1"/>
    <n v="3.5"/>
    <n v="6.05"/>
    <n v="38"/>
    <n v="113.4"/>
    <x v="20"/>
    <n v="2.9842105263157896"/>
    <x v="0"/>
  </r>
  <r>
    <s v="2024-01-31"/>
    <x v="1"/>
    <n v="3.46"/>
    <n v="6.32"/>
    <n v="25"/>
    <n v="81.87"/>
    <x v="20"/>
    <n v="3.2748000000000004"/>
    <x v="0"/>
  </r>
  <r>
    <s v="2024-02-01"/>
    <x v="2"/>
    <n v="7.66"/>
    <n v="14.47"/>
    <n v="39"/>
    <n v="93.07"/>
    <x v="21"/>
    <n v="2.3864102564102563"/>
    <x v="1"/>
  </r>
  <r>
    <s v="2024-02-01"/>
    <x v="1"/>
    <n v="7.82"/>
    <n v="6.35"/>
    <n v="37"/>
    <n v="89.95"/>
    <x v="21"/>
    <n v="2.4310810810810812"/>
    <x v="0"/>
  </r>
  <r>
    <s v="2024-02-02"/>
    <x v="4"/>
    <n v="5.51"/>
    <n v="14.68"/>
    <n v="31"/>
    <n v="90.78"/>
    <x v="22"/>
    <n v="2.9283870967741934"/>
    <x v="1"/>
  </r>
  <r>
    <s v="2024-02-03"/>
    <x v="0"/>
    <n v="5.49"/>
    <n v="14.12"/>
    <n v="9"/>
    <n v="22.64"/>
    <x v="23"/>
    <n v="2.5155555555555558"/>
    <x v="1"/>
  </r>
  <r>
    <s v="2024/13/40"/>
    <x v="4"/>
    <n v="4.8899999999999997"/>
    <n v="14.4"/>
    <n v="17"/>
    <n v="47.53"/>
    <x v="23"/>
    <n v="2.7958823529411765"/>
    <x v="1"/>
  </r>
  <r>
    <s v="2024-02-04"/>
    <x v="4"/>
    <n v="7.43"/>
    <n v="11.04"/>
    <n v="30"/>
    <n v="68.599999999999994"/>
    <x v="24"/>
    <n v="2.2866666666666666"/>
    <x v="1"/>
  </r>
  <r>
    <s v="2024-02-04"/>
    <x v="0"/>
    <n v="3.01"/>
    <n v="7.02"/>
    <n v="38"/>
    <n v="88.39"/>
    <x v="24"/>
    <n v="2.3260526315789476"/>
    <x v="0"/>
  </r>
  <r>
    <s v="2024-02-05"/>
    <x v="4"/>
    <n v="2.42"/>
    <n v="13.1"/>
    <n v="35"/>
    <n v="67.98"/>
    <x v="25"/>
    <n v="1.9422857142857144"/>
    <x v="1"/>
  </r>
  <r>
    <s v="2024-02-05"/>
    <x v="1"/>
    <n v="5.18"/>
    <n v="14.8"/>
    <n v="29"/>
    <n v="54.96"/>
    <x v="25"/>
    <n v="1.8951724137931034"/>
    <x v="1"/>
  </r>
  <r>
    <s v="2024-02-06"/>
    <x v="3"/>
    <n v="4.3099999999999996"/>
    <n v="13.9"/>
    <n v="30"/>
    <n v="70.42"/>
    <x v="26"/>
    <n v="2.3473333333333333"/>
    <x v="1"/>
  </r>
  <r>
    <s v="2024-02-06"/>
    <x v="0"/>
    <n v="6.48"/>
    <n v="9.19"/>
    <n v="8"/>
    <n v="25.67"/>
    <x v="26"/>
    <n v="3.2087500000000002"/>
    <x v="0"/>
  </r>
  <r>
    <s v="2024-02-06"/>
    <x v="4"/>
    <n v="5.26"/>
    <n v="5.37"/>
    <n v="34"/>
    <n v="99.25"/>
    <x v="26"/>
    <n v="2.9191176470588234"/>
    <x v="0"/>
  </r>
  <r>
    <s v="2024-02-06"/>
    <x v="1"/>
    <n v="2.66"/>
    <n v="11.77"/>
    <n v="25"/>
    <n v="71.790000000000006"/>
    <x v="26"/>
    <n v="2.8716000000000004"/>
    <x v="1"/>
  </r>
  <r>
    <s v="2024-02-07"/>
    <x v="0"/>
    <n v="4.99"/>
    <n v="6.92"/>
    <n v="27"/>
    <n v="90.23"/>
    <x v="27"/>
    <n v="3.3418518518518519"/>
    <x v="0"/>
  </r>
  <r>
    <s v="2024-02-08"/>
    <x v="2"/>
    <n v="5.09"/>
    <n v="8.19"/>
    <n v="45"/>
    <n v="133.29"/>
    <x v="28"/>
    <n v="2.9619999999999997"/>
    <x v="0"/>
  </r>
  <r>
    <s v="2024-02-08"/>
    <x v="2"/>
    <n v="6.06"/>
    <n v="10.41"/>
    <n v="27"/>
    <n v="89.6"/>
    <x v="28"/>
    <n v="3.3185185185185184"/>
    <x v="1"/>
  </r>
  <r>
    <s v="2024-02-08"/>
    <x v="0"/>
    <n v="5.97"/>
    <n v="14.03"/>
    <n v="32"/>
    <n v="108.8"/>
    <x v="28"/>
    <n v="3.4"/>
    <x v="1"/>
  </r>
  <r>
    <s v="2024-02-08"/>
    <x v="2"/>
    <n v="5.97"/>
    <n v="14.03"/>
    <n v="32"/>
    <n v="108.8"/>
    <x v="28"/>
    <n v="3.4"/>
    <x v="1"/>
  </r>
  <r>
    <s v="2024-02-10"/>
    <x v="3"/>
    <n v="4.53"/>
    <n v="10.25"/>
    <n v="39"/>
    <n v="124.11"/>
    <x v="29"/>
    <n v="3.1823076923076923"/>
    <x v="1"/>
  </r>
  <r>
    <s v="2024-02-10"/>
    <x v="2"/>
    <n v="5.64"/>
    <n v="10.119999999999999"/>
    <n v="31"/>
    <n v="90.96"/>
    <x v="29"/>
    <n v="2.9341935483870967"/>
    <x v="1"/>
  </r>
  <r>
    <s v="2024-02-10"/>
    <x v="2"/>
    <n v="3.4"/>
    <n v="11.72"/>
    <n v="18"/>
    <n v="51.94"/>
    <x v="29"/>
    <n v="2.8855555555555554"/>
    <x v="1"/>
  </r>
  <r>
    <s v="2024-02-10"/>
    <x v="2"/>
    <n v="6.03"/>
    <n v="10.55"/>
    <n v="22"/>
    <n v="69.44"/>
    <x v="29"/>
    <n v="3.1563636363636363"/>
    <x v="1"/>
  </r>
  <r>
    <s v="2024-02-11"/>
    <x v="3"/>
    <n v="6.53"/>
    <n v="9.24"/>
    <n v="13"/>
    <n v="28.78"/>
    <x v="30"/>
    <n v="2.2138461538461538"/>
    <x v="0"/>
  </r>
  <r>
    <s v="2024-02-11"/>
    <x v="2"/>
    <n v="7.47"/>
    <n v="9.8000000000000007"/>
    <n v="13"/>
    <n v="28.51"/>
    <x v="30"/>
    <n v="2.1930769230769234"/>
    <x v="0"/>
  </r>
  <r>
    <s v="2024-02-13"/>
    <x v="4"/>
    <n v="4.49"/>
    <n v="5.22"/>
    <n v="8"/>
    <n v="19.25"/>
    <x v="31"/>
    <n v="2.40625"/>
    <x v="0"/>
  </r>
  <r>
    <s v="2024-02-13"/>
    <x v="2"/>
    <n v="5.9"/>
    <n v="6.4"/>
    <n v="27"/>
    <n v="80.97"/>
    <x v="31"/>
    <n v="2.9988888888888887"/>
    <x v="0"/>
  </r>
  <r>
    <s v="2024-02-13"/>
    <x v="3"/>
    <n v="2.88"/>
    <n v="11.86"/>
    <n v="25"/>
    <n v="53.93"/>
    <x v="31"/>
    <n v="2.1572"/>
    <x v="1"/>
  </r>
  <r>
    <s v="2024-02-14"/>
    <x v="2"/>
    <n v="3.77"/>
    <n v="5.99"/>
    <n v="28"/>
    <n v="51.34"/>
    <x v="32"/>
    <n v="1.8335714285714286"/>
    <x v="0"/>
  </r>
  <r>
    <s v="2024-02-14"/>
    <x v="4"/>
    <n v="3.49"/>
    <n v="11.86"/>
    <n v="35"/>
    <n v="75.45"/>
    <x v="32"/>
    <n v="2.1557142857142857"/>
    <x v="1"/>
  </r>
  <r>
    <s v="2024/13/40"/>
    <x v="2"/>
    <n v="2.82"/>
    <n v="13.83"/>
    <n v="22"/>
    <n v="51.34"/>
    <x v="32"/>
    <n v="2.333636363636364"/>
    <x v="1"/>
  </r>
  <r>
    <s v="2024/13/40"/>
    <x v="2"/>
    <n v="5.23"/>
    <n v="14.16"/>
    <n v="16"/>
    <n v="33.57"/>
    <x v="32"/>
    <n v="2.098125"/>
    <x v="1"/>
  </r>
  <r>
    <s v="2024-02-15"/>
    <x v="1"/>
    <n v="2.42"/>
    <n v="14.54"/>
    <n v="25"/>
    <n v="48.11"/>
    <x v="33"/>
    <n v="1.9243999999999999"/>
    <x v="1"/>
  </r>
  <r>
    <s v="2024-02-15"/>
    <x v="4"/>
    <n v="6.27"/>
    <n v="14.24"/>
    <n v="29"/>
    <n v="94.28"/>
    <x v="33"/>
    <n v="3.2510344827586208"/>
    <x v="1"/>
  </r>
  <r>
    <s v="2024-02-16"/>
    <x v="2"/>
    <n v="6.58"/>
    <n v="6.43"/>
    <n v="16"/>
    <n v="38.409999999999997"/>
    <x v="34"/>
    <n v="2.4006249999999998"/>
    <x v="0"/>
  </r>
  <r>
    <s v="2024-02-17"/>
    <x v="0"/>
    <n v="3.74"/>
    <n v="12.17"/>
    <n v="13"/>
    <n v="40.98"/>
    <x v="35"/>
    <n v="3.152307692307692"/>
    <x v="1"/>
  </r>
  <r>
    <s v="2024-02-17"/>
    <x v="1"/>
    <n v="7.4"/>
    <n v="10.69"/>
    <n v="11"/>
    <n v="35.020000000000003"/>
    <x v="35"/>
    <n v="3.183636363636364"/>
    <x v="1"/>
  </r>
  <r>
    <s v="2024-02-17"/>
    <x v="3"/>
    <n v="4.63"/>
    <n v="13"/>
    <n v="31"/>
    <n v="77.08"/>
    <x v="35"/>
    <n v="2.4864516129032257"/>
    <x v="1"/>
  </r>
  <r>
    <s v="2024-02-18"/>
    <x v="2"/>
    <n v="2.2999999999999998"/>
    <n v="5.9"/>
    <n v="16"/>
    <n v="31.5"/>
    <x v="36"/>
    <n v="1.96875"/>
    <x v="0"/>
  </r>
  <r>
    <s v="2024-02-19"/>
    <x v="4"/>
    <n v="3.16"/>
    <n v="7.9"/>
    <n v="13"/>
    <n v="29.83"/>
    <x v="37"/>
    <n v="2.2946153846153843"/>
    <x v="0"/>
  </r>
  <r>
    <s v="2024-02-19"/>
    <x v="4"/>
    <n v="6.67"/>
    <n v="6.66"/>
    <n v="9"/>
    <n v="27.63"/>
    <x v="37"/>
    <n v="3.07"/>
    <x v="0"/>
  </r>
  <r>
    <s v="2024-02-19"/>
    <x v="4"/>
    <n v="3.01"/>
    <n v="11.29"/>
    <n v="13"/>
    <n v="42.39"/>
    <x v="37"/>
    <n v="3.2607692307692306"/>
    <x v="1"/>
  </r>
  <r>
    <s v="2024-02-20"/>
    <x v="3"/>
    <n v="2.54"/>
    <n v="9.1300000000000008"/>
    <n v="41"/>
    <n v="109.91"/>
    <x v="38"/>
    <n v="2.6807317073170731"/>
    <x v="0"/>
  </r>
  <r>
    <s v="2024-02-21"/>
    <x v="0"/>
    <n v="2.8"/>
    <n v="9.44"/>
    <n v="42"/>
    <n v="84.3"/>
    <x v="39"/>
    <n v="2.0071428571428571"/>
    <x v="0"/>
  </r>
  <r>
    <s v="2024-02-22"/>
    <x v="1"/>
    <n v="3.56"/>
    <n v="6.47"/>
    <n v="40"/>
    <n v="105.07"/>
    <x v="40"/>
    <n v="2.6267499999999999"/>
    <x v="0"/>
  </r>
  <r>
    <s v="2024-02-22"/>
    <x v="1"/>
    <n v="5.96"/>
    <n v="9.15"/>
    <n v="15"/>
    <n v="31.66"/>
    <x v="40"/>
    <n v="2.1106666666666665"/>
    <x v="0"/>
  </r>
  <r>
    <s v="2024-02-23"/>
    <x v="0"/>
    <n v="5.3"/>
    <n v="5.18"/>
    <n v="44"/>
    <n v="85.81"/>
    <x v="41"/>
    <n v="1.9502272727272727"/>
    <x v="0"/>
  </r>
  <r>
    <s v="2024-02-24"/>
    <x v="2"/>
    <n v="2.2400000000000002"/>
    <n v="10.74"/>
    <n v="26"/>
    <n v="84.26"/>
    <x v="42"/>
    <n v="3.2407692307692311"/>
    <x v="1"/>
  </r>
  <r>
    <s v="2024-02-25"/>
    <x v="3"/>
    <n v="5.15"/>
    <n v="5.82"/>
    <n v="21"/>
    <n v="38.020000000000003"/>
    <x v="43"/>
    <n v="1.8104761904761906"/>
    <x v="0"/>
  </r>
  <r>
    <s v="2024-02-26"/>
    <x v="0"/>
    <n v="6.4"/>
    <n v="13.32"/>
    <n v="43"/>
    <n v="126.14"/>
    <x v="44"/>
    <n v="2.9334883720930232"/>
    <x v="1"/>
  </r>
  <r>
    <s v="2024-02-27"/>
    <x v="1"/>
    <n v="7.09"/>
    <n v="12.15"/>
    <n v="27"/>
    <n v="81.14"/>
    <x v="45"/>
    <n v="3.0051851851851854"/>
    <x v="1"/>
  </r>
  <r>
    <s v="2024-02-27"/>
    <x v="1"/>
    <n v="2.35"/>
    <n v="5.6"/>
    <n v="24"/>
    <n v="66.959999999999994"/>
    <x v="45"/>
    <n v="2.7899999999999996"/>
    <x v="0"/>
  </r>
  <r>
    <s v="2024-02-28"/>
    <x v="4"/>
    <n v="6.75"/>
    <n v="7.28"/>
    <n v="31"/>
    <n v="96.4"/>
    <x v="46"/>
    <n v="3.1096774193548389"/>
    <x v="0"/>
  </r>
  <r>
    <s v="2024-02-28"/>
    <x v="2"/>
    <n v="5.89"/>
    <n v="9.36"/>
    <n v="43"/>
    <n v="84.29"/>
    <x v="46"/>
    <n v="1.960232558139535"/>
    <x v="0"/>
  </r>
  <r>
    <s v="2024-02-28"/>
    <x v="2"/>
    <n v="3.43"/>
    <n v="12.24"/>
    <n v="22"/>
    <n v="55.07"/>
    <x v="46"/>
    <n v="2.5031818181818184"/>
    <x v="1"/>
  </r>
  <r>
    <s v="2024-02-28"/>
    <x v="3"/>
    <n v="4.0599999999999996"/>
    <n v="13.97"/>
    <n v="29"/>
    <n v="94.81"/>
    <x v="46"/>
    <n v="3.2693103448275864"/>
    <x v="1"/>
  </r>
  <r>
    <s v="2024-02-29"/>
    <x v="3"/>
    <n v="2.12"/>
    <n v="5.52"/>
    <n v="20"/>
    <n v="55.94"/>
    <x v="47"/>
    <n v="2.7969999999999997"/>
    <x v="0"/>
  </r>
  <r>
    <s v="2024-02-29"/>
    <x v="1"/>
    <n v="7.82"/>
    <n v="10.84"/>
    <n v="20"/>
    <n v="38.619999999999997"/>
    <x v="47"/>
    <n v="1.9309999999999998"/>
    <x v="1"/>
  </r>
  <r>
    <s v="2024-03-01"/>
    <x v="2"/>
    <n v="6.24"/>
    <n v="8.57"/>
    <n v="11"/>
    <n v="34.72"/>
    <x v="48"/>
    <n v="3.1563636363636363"/>
    <x v="0"/>
  </r>
  <r>
    <s v="2024-03-02"/>
    <x v="3"/>
    <n v="5.57"/>
    <n v="5.07"/>
    <n v="16"/>
    <n v="42.19"/>
    <x v="49"/>
    <n v="2.6368749999999999"/>
    <x v="0"/>
  </r>
  <r>
    <s v="2024-03-03"/>
    <x v="1"/>
    <n v="3.42"/>
    <n v="14.99"/>
    <n v="44"/>
    <n v="105.1"/>
    <x v="50"/>
    <n v="2.3886363636363637"/>
    <x v="1"/>
  </r>
  <r>
    <s v="2024-03-04"/>
    <x v="4"/>
    <n v="7.76"/>
    <n v="13.19"/>
    <n v="40"/>
    <n v="74.16"/>
    <x v="51"/>
    <n v="1.8539999999999999"/>
    <x v="1"/>
  </r>
  <r>
    <s v="2024-03-04"/>
    <x v="4"/>
    <n v="5.45"/>
    <n v="11.46"/>
    <n v="41"/>
    <n v="132.55000000000001"/>
    <x v="51"/>
    <n v="3.2329268292682931"/>
    <x v="1"/>
  </r>
  <r>
    <s v="2024-03-04"/>
    <x v="3"/>
    <n v="4.79"/>
    <n v="7.64"/>
    <n v="31"/>
    <n v="83.92"/>
    <x v="51"/>
    <n v="2.7070967741935483"/>
    <x v="0"/>
  </r>
  <r>
    <s v="2024-03-05"/>
    <x v="1"/>
    <n v="7.21"/>
    <n v="13.35"/>
    <n v="20"/>
    <n v="63.84"/>
    <x v="52"/>
    <n v="3.1920000000000002"/>
    <x v="1"/>
  </r>
  <r>
    <s v="2024-03-06"/>
    <x v="3"/>
    <n v="3.19"/>
    <n v="12.62"/>
    <n v="36"/>
    <n v="91.63"/>
    <x v="53"/>
    <n v="2.5452777777777778"/>
    <x v="1"/>
  </r>
  <r>
    <s v="2024-03-06"/>
    <x v="2"/>
    <n v="6.52"/>
    <n v="12.5"/>
    <n v="39"/>
    <n v="108.55"/>
    <x v="53"/>
    <n v="2.7833333333333332"/>
    <x v="1"/>
  </r>
  <r>
    <s v="2024-03-07"/>
    <x v="2"/>
    <n v="6.23"/>
    <n v="10.09"/>
    <n v="22"/>
    <n v="41.47"/>
    <x v="54"/>
    <n v="1.885"/>
    <x v="1"/>
  </r>
  <r>
    <s v="2024-03-07"/>
    <x v="1"/>
    <n v="7.79"/>
    <n v="10.76"/>
    <n v="29"/>
    <n v="81.849999999999994"/>
    <x v="54"/>
    <n v="2.8224137931034479"/>
    <x v="1"/>
  </r>
  <r>
    <s v="2024-03-07"/>
    <x v="3"/>
    <n v="6.89"/>
    <n v="12.38"/>
    <n v="45"/>
    <n v="110.23"/>
    <x v="54"/>
    <n v="2.4495555555555555"/>
    <x v="1"/>
  </r>
  <r>
    <s v="2024-03-10"/>
    <x v="2"/>
    <n v="3.31"/>
    <n v="12.74"/>
    <n v="44"/>
    <n v="128.79"/>
    <x v="55"/>
    <n v="2.9270454545454543"/>
    <x v="1"/>
  </r>
  <r>
    <s v="2024-03-10"/>
    <x v="1"/>
    <n v="7.73"/>
    <n v="13.89"/>
    <n v="27"/>
    <n v="67.13"/>
    <x v="55"/>
    <n v="2.4862962962962962"/>
    <x v="1"/>
  </r>
  <r>
    <s v="2024-03-13"/>
    <x v="1"/>
    <n v="5.58"/>
    <n v="8.2100000000000009"/>
    <n v="16"/>
    <n v="35.880000000000003"/>
    <x v="56"/>
    <n v="2.2425000000000002"/>
    <x v="0"/>
  </r>
  <r>
    <s v="2024-03-13"/>
    <x v="2"/>
    <n v="5.53"/>
    <n v="11.09"/>
    <n v="23"/>
    <n v="68.33"/>
    <x v="56"/>
    <n v="2.9708695652173911"/>
    <x v="1"/>
  </r>
  <r>
    <s v="2024-03-14"/>
    <x v="2"/>
    <n v="5.48"/>
    <n v="12.1"/>
    <n v="45"/>
    <n v="141.07"/>
    <x v="57"/>
    <n v="3.1348888888888888"/>
    <x v="1"/>
  </r>
  <r>
    <s v="2024-03-15"/>
    <x v="2"/>
    <n v="3.43"/>
    <n v="14.74"/>
    <n v="21"/>
    <n v="62.83"/>
    <x v="58"/>
    <n v="2.9919047619047618"/>
    <x v="1"/>
  </r>
  <r>
    <s v="2024-03-16"/>
    <x v="2"/>
    <n v="2.9"/>
    <n v="7.93"/>
    <n v="14"/>
    <n v="47.27"/>
    <x v="59"/>
    <n v="3.3764285714285718"/>
    <x v="0"/>
  </r>
  <r>
    <s v="2024-03-17"/>
    <x v="4"/>
    <n v="4.88"/>
    <n v="13.2"/>
    <n v="16"/>
    <n v="31.8"/>
    <x v="60"/>
    <n v="1.9875"/>
    <x v="1"/>
  </r>
  <r>
    <s v="2024-03-17"/>
    <x v="3"/>
    <n v="2.2999999999999998"/>
    <n v="7.43"/>
    <n v="45"/>
    <n v="101.27"/>
    <x v="60"/>
    <n v="2.2504444444444442"/>
    <x v="0"/>
  </r>
  <r>
    <s v="2024-03-17"/>
    <x v="2"/>
    <n v="3.41"/>
    <n v="5.08"/>
    <n v="44"/>
    <n v="148.63"/>
    <x v="60"/>
    <n v="3.3779545454545454"/>
    <x v="0"/>
  </r>
  <r>
    <s v="2024-03-17"/>
    <x v="1"/>
    <n v="4.4000000000000004"/>
    <n v="5.47"/>
    <n v="33"/>
    <n v="69.98"/>
    <x v="60"/>
    <n v="2.1206060606060606"/>
    <x v="0"/>
  </r>
  <r>
    <s v="2024-03-17"/>
    <x v="3"/>
    <n v="4.75"/>
    <n v="14.98"/>
    <n v="19"/>
    <n v="44.8"/>
    <x v="60"/>
    <n v="2.357894736842105"/>
    <x v="1"/>
  </r>
  <r>
    <s v="2024-03-18"/>
    <x v="2"/>
    <n v="6.32"/>
    <n v="11.06"/>
    <n v="27"/>
    <n v="57.64"/>
    <x v="61"/>
    <n v="2.1348148148148147"/>
    <x v="1"/>
  </r>
  <r>
    <s v="2024-03-19"/>
    <x v="3"/>
    <n v="7.47"/>
    <n v="14.29"/>
    <n v="36"/>
    <n v="80.42"/>
    <x v="62"/>
    <n v="2.233888888888889"/>
    <x v="1"/>
  </r>
  <r>
    <s v="2024-03-19"/>
    <x v="0"/>
    <n v="3.76"/>
    <n v="9.0299999999999994"/>
    <n v="21"/>
    <n v="47.13"/>
    <x v="62"/>
    <n v="2.2442857142857142"/>
    <x v="0"/>
  </r>
  <r>
    <s v="2024-03-20"/>
    <x v="3"/>
    <n v="2.17"/>
    <n v="10.91"/>
    <n v="20"/>
    <n v="60.57"/>
    <x v="63"/>
    <n v="3.0285000000000002"/>
    <x v="1"/>
  </r>
  <r>
    <s v="2024-03-20"/>
    <x v="0"/>
    <n v="7.22"/>
    <n v="6.75"/>
    <n v="36"/>
    <n v="68.5"/>
    <x v="63"/>
    <n v="1.9027777777777777"/>
    <x v="0"/>
  </r>
  <r>
    <s v="2024-03-21"/>
    <x v="2"/>
    <n v="4.04"/>
    <n v="13.77"/>
    <n v="29"/>
    <n v="57.47"/>
    <x v="64"/>
    <n v="1.9817241379310344"/>
    <x v="1"/>
  </r>
  <r>
    <s v="2024-03-22"/>
    <x v="0"/>
    <n v="7.9"/>
    <n v="10.06"/>
    <n v="24"/>
    <n v="57.23"/>
    <x v="65"/>
    <n v="2.3845833333333331"/>
    <x v="1"/>
  </r>
  <r>
    <s v="2024-03-22"/>
    <x v="3"/>
    <n v="2.62"/>
    <n v="5.98"/>
    <n v="40"/>
    <n v="122.24"/>
    <x v="65"/>
    <n v="3.056"/>
    <x v="0"/>
  </r>
  <r>
    <s v="2024-03-22"/>
    <x v="2"/>
    <n v="4.91"/>
    <n v="5.0199999999999996"/>
    <n v="43"/>
    <n v="102.55"/>
    <x v="65"/>
    <n v="2.3848837209302327"/>
    <x v="0"/>
  </r>
  <r>
    <s v="2024-03-24"/>
    <x v="4"/>
    <n v="4.7"/>
    <n v="9.85"/>
    <n v="36"/>
    <n v="81.27"/>
    <x v="66"/>
    <n v="2.2574999999999998"/>
    <x v="0"/>
  </r>
  <r>
    <s v="2024-03-25"/>
    <x v="4"/>
    <n v="4.0599999999999996"/>
    <n v="6.52"/>
    <n v="21"/>
    <n v="61.57"/>
    <x v="67"/>
    <n v="2.9319047619047618"/>
    <x v="0"/>
  </r>
  <r>
    <s v="2024-03-25"/>
    <x v="3"/>
    <n v="7.54"/>
    <n v="14.97"/>
    <n v="19"/>
    <n v="41.38"/>
    <x v="67"/>
    <n v="2.1778947368421053"/>
    <x v="1"/>
  </r>
  <r>
    <s v="2024-03-25"/>
    <x v="4"/>
    <n v="6.49"/>
    <n v="6.23"/>
    <n v="34"/>
    <n v="113.14"/>
    <x v="67"/>
    <n v="3.3276470588235294"/>
    <x v="0"/>
  </r>
  <r>
    <s v="2024-03-26"/>
    <x v="2"/>
    <n v="5.76"/>
    <n v="9.5299999999999994"/>
    <n v="10"/>
    <n v="27.94"/>
    <x v="68"/>
    <n v="2.794"/>
    <x v="0"/>
  </r>
  <r>
    <s v="2024-03-27"/>
    <x v="1"/>
    <n v="6.86"/>
    <n v="6.9"/>
    <n v="11"/>
    <n v="35.299999999999997"/>
    <x v="69"/>
    <n v="3.209090909090909"/>
    <x v="0"/>
  </r>
  <r>
    <s v="2024-03-28"/>
    <x v="2"/>
    <n v="4.1900000000000004"/>
    <n v="5.22"/>
    <n v="32"/>
    <n v="105.24"/>
    <x v="70"/>
    <n v="3.2887499999999998"/>
    <x v="0"/>
  </r>
  <r>
    <s v="2024-03-30"/>
    <x v="4"/>
    <n v="4.57"/>
    <n v="10.56"/>
    <n v="41"/>
    <n v="139.38999999999999"/>
    <x v="71"/>
    <n v="3.3997560975609753"/>
    <x v="1"/>
  </r>
  <r>
    <s v="2024-03-31"/>
    <x v="2"/>
    <n v="2.41"/>
    <n v="9.43"/>
    <n v="13"/>
    <n v="35.69"/>
    <x v="72"/>
    <n v="2.745384615384615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6A5621-543E-434B-AF87-8EED84C22820}"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0:H97" firstHeaderRow="1" firstDataRow="2" firstDataCol="1" rowPageCount="1" colPageCount="1"/>
  <pivotFields count="9">
    <pivotField showAll="0"/>
    <pivotField axis="axisRow" showAll="0">
      <items count="6">
        <item x="1"/>
        <item x="2"/>
        <item x="0"/>
        <item x="4"/>
        <item x="3"/>
        <item t="default"/>
      </items>
    </pivotField>
    <pivotField numFmtId="2" showAll="0"/>
    <pivotField dataField="1" numFmtId="2" showAll="0"/>
    <pivotField numFmtId="1" showAll="0"/>
    <pivotField numFmtId="2" showAll="0"/>
    <pivotField axis="axisPage" showAll="0">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umFmtId="2" showAll="0"/>
    <pivotField axis="axisCol" showAll="0">
      <items count="3">
        <item x="1"/>
        <item x="0"/>
        <item t="default"/>
      </items>
    </pivotField>
  </pivotFields>
  <rowFields count="1">
    <field x="1"/>
  </rowFields>
  <rowItems count="6">
    <i>
      <x/>
    </i>
    <i>
      <x v="1"/>
    </i>
    <i>
      <x v="2"/>
    </i>
    <i>
      <x v="3"/>
    </i>
    <i>
      <x v="4"/>
    </i>
    <i t="grand">
      <x/>
    </i>
  </rowItems>
  <colFields count="1">
    <field x="8"/>
  </colFields>
  <colItems count="3">
    <i>
      <x/>
    </i>
    <i>
      <x v="1"/>
    </i>
    <i t="grand">
      <x/>
    </i>
  </colItems>
  <pageFields count="1">
    <pageField fld="6" hier="-1"/>
  </pageFields>
  <dataFields count="1">
    <dataField name="Average of Cycle_Time_min" fld="3" subtotal="average" baseField="1"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E0D97B-32C2-49C2-ACF6-D46B0E345896}"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9:F85" firstHeaderRow="1" firstDataRow="1" firstDataCol="1" rowPageCount="1" colPageCount="1"/>
  <pivotFields count="9">
    <pivotField showAll="0"/>
    <pivotField axis="axisRow" showAll="0">
      <items count="6">
        <item x="1"/>
        <item x="2"/>
        <item x="0"/>
        <item x="4"/>
        <item x="3"/>
        <item t="default"/>
      </items>
    </pivotField>
    <pivotField numFmtId="2" showAll="0"/>
    <pivotField numFmtId="2" showAll="0"/>
    <pivotField numFmtId="1" showAll="0"/>
    <pivotField dataField="1" numFmtId="2" showAll="0"/>
    <pivotField axis="axisPage" showAll="0">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umFmtId="2" showAll="0"/>
    <pivotField showAll="0"/>
  </pivotFields>
  <rowFields count="1">
    <field x="1"/>
  </rowFields>
  <rowItems count="6">
    <i>
      <x/>
    </i>
    <i>
      <x v="1"/>
    </i>
    <i>
      <x v="2"/>
    </i>
    <i>
      <x v="3"/>
    </i>
    <i>
      <x v="4"/>
    </i>
    <i t="grand">
      <x/>
    </i>
  </rowItems>
  <colItems count="1">
    <i/>
  </colItems>
  <pageFields count="1">
    <pageField fld="6" hier="-1"/>
  </pageFields>
  <dataFields count="1">
    <dataField name="Sum of Fuel_Usage_L" fld="5" baseField="0" baseItem="0" numFmtId="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6CEDF96-DD89-42AF-BED3-81D6CAFD2750}"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68:F74" firstHeaderRow="1" firstDataRow="1" firstDataCol="1" rowPageCount="1" colPageCount="1"/>
  <pivotFields count="9">
    <pivotField showAll="0"/>
    <pivotField axis="axisRow" showAll="0">
      <items count="6">
        <item x="1"/>
        <item x="2"/>
        <item x="0"/>
        <item x="4"/>
        <item x="3"/>
        <item t="default"/>
      </items>
    </pivotField>
    <pivotField numFmtId="2" showAll="0"/>
    <pivotField numFmtId="2" showAll="0"/>
    <pivotField dataField="1" numFmtId="1" showAll="0"/>
    <pivotField numFmtId="2" showAll="0"/>
    <pivotField axis="axisPage" showAll="0">
      <items count="7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t="default"/>
      </items>
    </pivotField>
    <pivotField numFmtId="2" showAll="0"/>
    <pivotField showAll="0"/>
  </pivotFields>
  <rowFields count="1">
    <field x="1"/>
  </rowFields>
  <rowItems count="6">
    <i>
      <x/>
    </i>
    <i>
      <x v="1"/>
    </i>
    <i>
      <x v="2"/>
    </i>
    <i>
      <x v="3"/>
    </i>
    <i>
      <x v="4"/>
    </i>
    <i t="grand">
      <x/>
    </i>
  </rowItems>
  <colItems count="1">
    <i/>
  </colItems>
  <pageFields count="1">
    <pageField fld="6" hier="-1"/>
  </pageFields>
  <dataFields count="1">
    <dataField name="Count of Ritase" fld="4"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D598BBE-BF3F-4853-8917-DFDFB1D8887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59:G63" firstHeaderRow="0" firstDataRow="1" firstDataCol="1" rowPageCount="2" colPageCount="1"/>
  <pivotFields count="17">
    <pivotField showAll="0"/>
    <pivotField axis="axisRow" showAll="0">
      <items count="4">
        <item x="1"/>
        <item x="2"/>
        <item x="0"/>
        <item t="default"/>
      </items>
    </pivotField>
    <pivotField showAll="0"/>
    <pivotField showAll="0"/>
    <pivotField showAll="0"/>
    <pivotField dataField="1" numFmtId="1" showAll="0"/>
    <pivotField dataField="1" numFmtId="1" showAll="0"/>
    <pivotField numFmtId="2" showAll="0"/>
    <pivotField numFmtId="2" showAll="0"/>
    <pivotField numFmtId="2" showAll="0"/>
    <pivotField axis="axisPage" showAll="0">
      <items count="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axis="axisPage" showAll="0">
      <items count="3">
        <item x="1"/>
        <item x="0"/>
        <item t="default"/>
      </items>
    </pivotField>
    <pivotField showAll="0"/>
    <pivotField numFmtId="2" showAll="0"/>
    <pivotField numFmtId="1" showAll="0"/>
    <pivotField showAll="0"/>
    <pivotField numFmtId="2" showAll="0"/>
  </pivotFields>
  <rowFields count="1">
    <field x="1"/>
  </rowFields>
  <rowItems count="4">
    <i>
      <x/>
    </i>
    <i>
      <x v="1"/>
    </i>
    <i>
      <x v="2"/>
    </i>
    <i t="grand">
      <x/>
    </i>
  </rowItems>
  <colFields count="1">
    <field x="-2"/>
  </colFields>
  <colItems count="2">
    <i>
      <x/>
    </i>
    <i i="1">
      <x v="1"/>
    </i>
  </colItems>
  <pageFields count="2">
    <pageField fld="10" hier="-1"/>
    <pageField fld="11" hier="-1"/>
  </pageFields>
  <dataFields count="2">
    <dataField name="Sum of OB_Volume" fld="5" baseField="0" baseItem="0" numFmtId="1"/>
    <dataField name="Sum of Coal_Volume" fld="6" baseField="0" baseItem="0" numFmtId="1"/>
  </dataFields>
  <formats count="2">
    <format dxfId="2">
      <pivotArea outline="0" collapsedLevelsAreSubtotals="1" fieldPosition="0"/>
    </format>
    <format dxfId="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F39"/>
  <sheetViews>
    <sheetView showGridLines="0" topLeftCell="A12" zoomScale="75" workbookViewId="0">
      <selection activeCell="A37" sqref="A37"/>
    </sheetView>
  </sheetViews>
  <sheetFormatPr defaultColWidth="9.109375" defaultRowHeight="14.4" x14ac:dyDescent="0.3"/>
  <cols>
    <col min="1" max="1" width="117.6640625" style="1" customWidth="1"/>
    <col min="2" max="2" width="5" style="1" customWidth="1"/>
    <col min="3" max="4" width="17.88671875" style="1" bestFit="1" customWidth="1"/>
    <col min="5" max="5" width="65.5546875" style="1" bestFit="1" customWidth="1"/>
    <col min="6" max="6" width="2.6640625" style="1" customWidth="1"/>
    <col min="7" max="16384" width="9.109375" style="1"/>
  </cols>
  <sheetData>
    <row r="1" spans="1:5" ht="9.75" customHeight="1" thickBot="1" x14ac:dyDescent="0.35">
      <c r="A1" s="14"/>
      <c r="B1" s="14"/>
      <c r="C1" s="14"/>
      <c r="D1" s="14"/>
      <c r="E1" s="14"/>
    </row>
    <row r="2" spans="1:5" ht="15" thickBot="1" x14ac:dyDescent="0.35">
      <c r="A2" s="12" t="s">
        <v>0</v>
      </c>
      <c r="C2" s="49" t="s">
        <v>146</v>
      </c>
      <c r="D2" s="50"/>
      <c r="E2" s="51"/>
    </row>
    <row r="3" spans="1:5" ht="15" thickBot="1" x14ac:dyDescent="0.35">
      <c r="C3" s="9" t="s">
        <v>135</v>
      </c>
      <c r="D3" s="10" t="s">
        <v>136</v>
      </c>
      <c r="E3" s="11" t="s">
        <v>137</v>
      </c>
    </row>
    <row r="4" spans="1:5" x14ac:dyDescent="0.3">
      <c r="A4" s="12" t="s">
        <v>1</v>
      </c>
      <c r="C4" s="17" t="s">
        <v>154</v>
      </c>
      <c r="D4" s="7">
        <v>25</v>
      </c>
      <c r="E4" s="8" t="s">
        <v>138</v>
      </c>
    </row>
    <row r="5" spans="1:5" x14ac:dyDescent="0.3">
      <c r="A5" s="13" t="s">
        <v>164</v>
      </c>
      <c r="C5" s="18" t="s">
        <v>166</v>
      </c>
      <c r="D5" s="5">
        <v>20</v>
      </c>
      <c r="E5" s="3" t="s">
        <v>139</v>
      </c>
    </row>
    <row r="6" spans="1:5" x14ac:dyDescent="0.3">
      <c r="C6" s="18" t="s">
        <v>140</v>
      </c>
      <c r="D6" s="5">
        <v>20</v>
      </c>
      <c r="E6" s="3" t="s">
        <v>141</v>
      </c>
    </row>
    <row r="7" spans="1:5" x14ac:dyDescent="0.3">
      <c r="A7" s="13" t="s">
        <v>153</v>
      </c>
      <c r="C7" s="18" t="s">
        <v>142</v>
      </c>
      <c r="D7" s="5">
        <v>25</v>
      </c>
      <c r="E7" s="3" t="s">
        <v>143</v>
      </c>
    </row>
    <row r="8" spans="1:5" ht="15" thickBot="1" x14ac:dyDescent="0.35">
      <c r="A8" s="1" t="s">
        <v>148</v>
      </c>
      <c r="C8" s="19" t="s">
        <v>144</v>
      </c>
      <c r="D8" s="6">
        <v>10</v>
      </c>
      <c r="E8" s="4" t="s">
        <v>145</v>
      </c>
    </row>
    <row r="9" spans="1:5" ht="15" thickBot="1" x14ac:dyDescent="0.35">
      <c r="A9" s="1" t="s">
        <v>149</v>
      </c>
    </row>
    <row r="10" spans="1:5" ht="15" thickBot="1" x14ac:dyDescent="0.35">
      <c r="A10" s="1" t="s">
        <v>150</v>
      </c>
      <c r="C10" s="16" t="s">
        <v>170</v>
      </c>
      <c r="D10" s="53" t="s">
        <v>255</v>
      </c>
      <c r="E10" s="54"/>
    </row>
    <row r="11" spans="1:5" x14ac:dyDescent="0.3">
      <c r="A11" s="1" t="s">
        <v>151</v>
      </c>
    </row>
    <row r="12" spans="1:5" x14ac:dyDescent="0.3">
      <c r="A12" s="1" t="s">
        <v>147</v>
      </c>
    </row>
    <row r="13" spans="1:5" x14ac:dyDescent="0.3">
      <c r="A13" s="1" t="s">
        <v>152</v>
      </c>
    </row>
    <row r="14" spans="1:5" x14ac:dyDescent="0.3">
      <c r="C14" s="55" t="s">
        <v>168</v>
      </c>
      <c r="D14" s="56"/>
      <c r="E14" s="57"/>
    </row>
    <row r="15" spans="1:5" x14ac:dyDescent="0.3">
      <c r="A15" s="13" t="s">
        <v>165</v>
      </c>
      <c r="C15" s="58"/>
      <c r="D15" s="59"/>
      <c r="E15" s="60"/>
    </row>
    <row r="16" spans="1:5" x14ac:dyDescent="0.3">
      <c r="A16" s="1" t="s">
        <v>155</v>
      </c>
      <c r="C16" s="58"/>
      <c r="D16" s="59"/>
      <c r="E16" s="60"/>
    </row>
    <row r="17" spans="1:5" x14ac:dyDescent="0.3">
      <c r="A17" s="1" t="s">
        <v>156</v>
      </c>
      <c r="C17" s="58"/>
      <c r="D17" s="59"/>
      <c r="E17" s="60"/>
    </row>
    <row r="18" spans="1:5" x14ac:dyDescent="0.3">
      <c r="A18" s="1" t="s">
        <v>157</v>
      </c>
      <c r="C18" s="61"/>
      <c r="D18" s="62"/>
      <c r="E18" s="63"/>
    </row>
    <row r="19" spans="1:5" x14ac:dyDescent="0.3">
      <c r="A19" s="1" t="s">
        <v>159</v>
      </c>
    </row>
    <row r="20" spans="1:5" x14ac:dyDescent="0.3">
      <c r="A20" s="1" t="s">
        <v>158</v>
      </c>
    </row>
    <row r="21" spans="1:5" x14ac:dyDescent="0.3">
      <c r="A21" s="52" t="s">
        <v>171</v>
      </c>
    </row>
    <row r="22" spans="1:5" x14ac:dyDescent="0.3">
      <c r="A22" s="52"/>
    </row>
    <row r="23" spans="1:5" x14ac:dyDescent="0.3">
      <c r="A23" s="15"/>
    </row>
    <row r="24" spans="1:5" x14ac:dyDescent="0.3">
      <c r="A24" s="13" t="s">
        <v>2</v>
      </c>
    </row>
    <row r="25" spans="1:5" x14ac:dyDescent="0.3">
      <c r="A25" s="1" t="s">
        <v>160</v>
      </c>
    </row>
    <row r="26" spans="1:5" x14ac:dyDescent="0.3">
      <c r="A26" s="1" t="s">
        <v>162</v>
      </c>
    </row>
    <row r="27" spans="1:5" x14ac:dyDescent="0.3">
      <c r="A27" s="1" t="s">
        <v>161</v>
      </c>
    </row>
    <row r="28" spans="1:5" x14ac:dyDescent="0.3">
      <c r="A28" s="1" t="s">
        <v>163</v>
      </c>
    </row>
    <row r="30" spans="1:5" x14ac:dyDescent="0.3">
      <c r="A30" s="13" t="s">
        <v>3</v>
      </c>
    </row>
    <row r="31" spans="1:5" x14ac:dyDescent="0.3">
      <c r="A31" s="1" t="s">
        <v>4</v>
      </c>
    </row>
    <row r="32" spans="1:5" x14ac:dyDescent="0.3">
      <c r="A32" s="1" t="s">
        <v>5</v>
      </c>
    </row>
    <row r="33" spans="1:6" x14ac:dyDescent="0.3">
      <c r="A33" s="1" t="s">
        <v>6</v>
      </c>
    </row>
    <row r="34" spans="1:6" x14ac:dyDescent="0.3">
      <c r="A34" s="1" t="s">
        <v>7</v>
      </c>
    </row>
    <row r="36" spans="1:6" x14ac:dyDescent="0.3">
      <c r="A36" s="13" t="s">
        <v>167</v>
      </c>
    </row>
    <row r="37" spans="1:6" x14ac:dyDescent="0.3">
      <c r="A37" s="1" t="s">
        <v>8</v>
      </c>
    </row>
    <row r="38" spans="1:6" ht="15" customHeight="1" x14ac:dyDescent="0.3">
      <c r="E38" s="21" t="s">
        <v>169</v>
      </c>
      <c r="F38" s="20"/>
    </row>
    <row r="39" spans="1:6" x14ac:dyDescent="0.3">
      <c r="A39" s="14"/>
      <c r="B39" s="14"/>
      <c r="C39" s="14"/>
      <c r="D39" s="14"/>
      <c r="E39" s="14"/>
    </row>
  </sheetData>
  <mergeCells count="4">
    <mergeCell ref="C2:E2"/>
    <mergeCell ref="A21:A22"/>
    <mergeCell ref="D10:E10"/>
    <mergeCell ref="C14:E1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301"/>
  <sheetViews>
    <sheetView workbookViewId="0">
      <selection activeCell="L16" sqref="L16"/>
    </sheetView>
  </sheetViews>
  <sheetFormatPr defaultRowHeight="14.4" x14ac:dyDescent="0.3"/>
  <cols>
    <col min="1" max="1" width="10.6640625" bestFit="1" customWidth="1"/>
    <col min="2" max="2" width="5.109375" bestFit="1" customWidth="1"/>
    <col min="3" max="3" width="7.33203125" bestFit="1" customWidth="1"/>
    <col min="4" max="4" width="9.44140625" bestFit="1" customWidth="1"/>
    <col min="5" max="5" width="8" bestFit="1" customWidth="1"/>
    <col min="6" max="6" width="11.5546875" bestFit="1" customWidth="1"/>
    <col min="7" max="7" width="12.88671875" bestFit="1" customWidth="1"/>
    <col min="8" max="8" width="14.88671875" bestFit="1" customWidth="1"/>
    <col min="9" max="9" width="12.109375" bestFit="1" customWidth="1"/>
    <col min="10" max="10" width="16.88671875" bestFit="1" customWidth="1"/>
    <col min="11" max="11" width="14.21875" bestFit="1" customWidth="1"/>
  </cols>
  <sheetData>
    <row r="1" spans="1:11" x14ac:dyDescent="0.3">
      <c r="A1" s="2" t="s">
        <v>9</v>
      </c>
      <c r="B1" s="2" t="s">
        <v>10</v>
      </c>
      <c r="C1" s="2" t="s">
        <v>11</v>
      </c>
      <c r="D1" s="2" t="s">
        <v>12</v>
      </c>
      <c r="E1" s="2" t="s">
        <v>13</v>
      </c>
      <c r="F1" s="2" t="s">
        <v>14</v>
      </c>
      <c r="G1" s="2" t="s">
        <v>15</v>
      </c>
      <c r="H1" s="2" t="s">
        <v>16</v>
      </c>
      <c r="I1" s="2" t="s">
        <v>17</v>
      </c>
      <c r="J1" s="2" t="s">
        <v>18</v>
      </c>
      <c r="K1" s="2" t="s">
        <v>188</v>
      </c>
    </row>
    <row r="2" spans="1:11" x14ac:dyDescent="0.3">
      <c r="A2" t="s">
        <v>92</v>
      </c>
      <c r="B2" t="s">
        <v>20</v>
      </c>
      <c r="C2" t="s">
        <v>21</v>
      </c>
      <c r="D2" t="s">
        <v>31</v>
      </c>
      <c r="E2" t="s">
        <v>32</v>
      </c>
      <c r="F2">
        <v>713</v>
      </c>
      <c r="G2">
        <v>6438</v>
      </c>
      <c r="H2">
        <v>9.92</v>
      </c>
      <c r="I2">
        <v>1.86</v>
      </c>
      <c r="J2">
        <v>8.06</v>
      </c>
      <c r="K2" t="str">
        <f t="shared" ref="K2:K65" si="0">IF(ISNUMBER(DATEVALUE(A2)),"VALID","INVALID")</f>
        <v>VALID</v>
      </c>
    </row>
    <row r="3" spans="1:11" x14ac:dyDescent="0.3">
      <c r="A3" t="s">
        <v>92</v>
      </c>
      <c r="B3" t="s">
        <v>20</v>
      </c>
      <c r="C3" t="s">
        <v>21</v>
      </c>
      <c r="D3" t="s">
        <v>31</v>
      </c>
      <c r="E3" t="s">
        <v>23</v>
      </c>
      <c r="F3">
        <v>713</v>
      </c>
      <c r="G3">
        <v>6438</v>
      </c>
      <c r="H3">
        <v>9.92</v>
      </c>
      <c r="I3">
        <v>1.86</v>
      </c>
      <c r="J3">
        <v>8.06</v>
      </c>
      <c r="K3" t="str">
        <f t="shared" si="0"/>
        <v>VALID</v>
      </c>
    </row>
    <row r="4" spans="1:11" x14ac:dyDescent="0.3">
      <c r="A4" t="s">
        <v>92</v>
      </c>
      <c r="B4" t="s">
        <v>20</v>
      </c>
      <c r="C4" t="s">
        <v>25</v>
      </c>
      <c r="D4" t="s">
        <v>31</v>
      </c>
      <c r="E4" t="s">
        <v>23</v>
      </c>
      <c r="F4">
        <v>1366</v>
      </c>
      <c r="G4">
        <v>1078</v>
      </c>
      <c r="H4">
        <v>4.4400000000000004</v>
      </c>
      <c r="I4">
        <v>0.72</v>
      </c>
      <c r="J4">
        <v>3.72</v>
      </c>
      <c r="K4" t="str">
        <f t="shared" si="0"/>
        <v>VALID</v>
      </c>
    </row>
    <row r="5" spans="1:11" x14ac:dyDescent="0.3">
      <c r="A5" t="s">
        <v>92</v>
      </c>
      <c r="B5" t="s">
        <v>20</v>
      </c>
      <c r="C5" t="s">
        <v>21</v>
      </c>
      <c r="D5" t="s">
        <v>31</v>
      </c>
      <c r="E5" t="s">
        <v>32</v>
      </c>
      <c r="G5">
        <v>6438</v>
      </c>
      <c r="H5">
        <v>9.92</v>
      </c>
      <c r="I5">
        <v>1.86</v>
      </c>
      <c r="J5">
        <v>8.06</v>
      </c>
      <c r="K5" t="str">
        <f t="shared" si="0"/>
        <v>VALID</v>
      </c>
    </row>
    <row r="6" spans="1:11" x14ac:dyDescent="0.3">
      <c r="A6" t="s">
        <v>92</v>
      </c>
      <c r="B6" t="s">
        <v>20</v>
      </c>
      <c r="C6" t="s">
        <v>21</v>
      </c>
      <c r="D6" t="s">
        <v>31</v>
      </c>
      <c r="E6" t="s">
        <v>23</v>
      </c>
      <c r="F6">
        <v>713</v>
      </c>
      <c r="G6">
        <v>6438</v>
      </c>
      <c r="H6">
        <v>9.92</v>
      </c>
      <c r="I6">
        <v>1.86</v>
      </c>
      <c r="J6">
        <v>8.06</v>
      </c>
      <c r="K6" t="str">
        <f t="shared" si="0"/>
        <v>VALID</v>
      </c>
    </row>
    <row r="7" spans="1:11" x14ac:dyDescent="0.3">
      <c r="A7" t="s">
        <v>92</v>
      </c>
      <c r="B7" t="s">
        <v>20</v>
      </c>
      <c r="C7" t="s">
        <v>25</v>
      </c>
      <c r="D7" t="s">
        <v>31</v>
      </c>
      <c r="E7" t="s">
        <v>23</v>
      </c>
      <c r="F7">
        <v>1366</v>
      </c>
      <c r="G7">
        <v>1078</v>
      </c>
      <c r="H7">
        <v>4.4400000000000004</v>
      </c>
      <c r="I7">
        <v>0.72</v>
      </c>
      <c r="J7">
        <v>3.72</v>
      </c>
      <c r="K7" t="str">
        <f t="shared" si="0"/>
        <v>VALID</v>
      </c>
    </row>
    <row r="8" spans="1:11" x14ac:dyDescent="0.3">
      <c r="A8" t="s">
        <v>92</v>
      </c>
      <c r="B8" t="s">
        <v>20</v>
      </c>
      <c r="C8" t="s">
        <v>21</v>
      </c>
      <c r="D8" t="s">
        <v>31</v>
      </c>
      <c r="E8" t="s">
        <v>23</v>
      </c>
      <c r="F8">
        <v>713</v>
      </c>
      <c r="G8">
        <v>6438</v>
      </c>
      <c r="H8">
        <v>9.92</v>
      </c>
      <c r="I8">
        <v>1.86</v>
      </c>
      <c r="J8">
        <v>8.06</v>
      </c>
      <c r="K8" t="str">
        <f t="shared" si="0"/>
        <v>VALID</v>
      </c>
    </row>
    <row r="9" spans="1:11" x14ac:dyDescent="0.3">
      <c r="A9" t="s">
        <v>39</v>
      </c>
      <c r="B9" t="s">
        <v>29</v>
      </c>
      <c r="C9" t="s">
        <v>21</v>
      </c>
      <c r="D9" t="s">
        <v>22</v>
      </c>
      <c r="E9" t="s">
        <v>27</v>
      </c>
      <c r="F9">
        <v>2612</v>
      </c>
      <c r="G9">
        <v>2675</v>
      </c>
      <c r="H9">
        <v>7.16</v>
      </c>
      <c r="I9">
        <v>1.5</v>
      </c>
      <c r="J9">
        <v>5.66</v>
      </c>
      <c r="K9" t="str">
        <f t="shared" si="0"/>
        <v>VALID</v>
      </c>
    </row>
    <row r="10" spans="1:11" x14ac:dyDescent="0.3">
      <c r="A10" t="s">
        <v>39</v>
      </c>
      <c r="B10" t="s">
        <v>29</v>
      </c>
      <c r="C10" t="s">
        <v>21</v>
      </c>
      <c r="D10" t="s">
        <v>22</v>
      </c>
      <c r="E10" t="s">
        <v>27</v>
      </c>
      <c r="F10">
        <v>2612</v>
      </c>
      <c r="G10">
        <v>2675</v>
      </c>
      <c r="H10">
        <v>7.16</v>
      </c>
      <c r="I10">
        <v>1.5</v>
      </c>
      <c r="J10">
        <v>5.66</v>
      </c>
      <c r="K10" t="str">
        <f t="shared" si="0"/>
        <v>VALID</v>
      </c>
    </row>
    <row r="11" spans="1:11" x14ac:dyDescent="0.3">
      <c r="A11" t="s">
        <v>39</v>
      </c>
      <c r="B11" t="s">
        <v>34</v>
      </c>
      <c r="C11" t="s">
        <v>25</v>
      </c>
      <c r="D11" t="s">
        <v>22</v>
      </c>
      <c r="E11" t="s">
        <v>27</v>
      </c>
      <c r="F11">
        <v>3737</v>
      </c>
      <c r="G11">
        <v>269</v>
      </c>
      <c r="H11">
        <v>9.9499999999999993</v>
      </c>
      <c r="I11">
        <v>0.78</v>
      </c>
      <c r="J11">
        <v>9.17</v>
      </c>
      <c r="K11" t="str">
        <f t="shared" si="0"/>
        <v>VALID</v>
      </c>
    </row>
    <row r="12" spans="1:11" x14ac:dyDescent="0.3">
      <c r="A12" t="s">
        <v>39</v>
      </c>
      <c r="B12" t="s">
        <v>20</v>
      </c>
      <c r="C12" t="s">
        <v>25</v>
      </c>
      <c r="D12" t="s">
        <v>22</v>
      </c>
      <c r="E12" t="s">
        <v>27</v>
      </c>
      <c r="F12">
        <v>7669</v>
      </c>
      <c r="G12">
        <v>4949</v>
      </c>
      <c r="H12">
        <v>7.54</v>
      </c>
      <c r="I12">
        <v>0.96</v>
      </c>
      <c r="J12">
        <v>6.58</v>
      </c>
      <c r="K12" t="str">
        <f t="shared" si="0"/>
        <v>VALID</v>
      </c>
    </row>
    <row r="13" spans="1:11" x14ac:dyDescent="0.3">
      <c r="A13" t="s">
        <v>39</v>
      </c>
      <c r="B13" t="s">
        <v>34</v>
      </c>
      <c r="C13" t="s">
        <v>25</v>
      </c>
      <c r="D13" t="s">
        <v>22</v>
      </c>
      <c r="E13" t="s">
        <v>32</v>
      </c>
      <c r="F13">
        <v>3737</v>
      </c>
      <c r="G13">
        <v>269</v>
      </c>
      <c r="H13">
        <v>9.9499999999999993</v>
      </c>
      <c r="I13">
        <v>0.78</v>
      </c>
      <c r="J13">
        <v>9.17</v>
      </c>
      <c r="K13" t="str">
        <f t="shared" si="0"/>
        <v>VALID</v>
      </c>
    </row>
    <row r="14" spans="1:11" x14ac:dyDescent="0.3">
      <c r="A14" t="s">
        <v>36</v>
      </c>
      <c r="B14" t="s">
        <v>29</v>
      </c>
      <c r="C14" t="s">
        <v>25</v>
      </c>
      <c r="D14" t="s">
        <v>26</v>
      </c>
      <c r="E14" t="s">
        <v>23</v>
      </c>
      <c r="F14">
        <v>2604</v>
      </c>
      <c r="G14">
        <v>1318</v>
      </c>
      <c r="H14">
        <v>6.25</v>
      </c>
      <c r="I14">
        <v>1.1399999999999999</v>
      </c>
      <c r="J14">
        <v>5.1100000000000003</v>
      </c>
      <c r="K14" t="str">
        <f t="shared" si="0"/>
        <v>VALID</v>
      </c>
    </row>
    <row r="15" spans="1:11" x14ac:dyDescent="0.3">
      <c r="A15" t="s">
        <v>36</v>
      </c>
      <c r="B15" t="s">
        <v>29</v>
      </c>
      <c r="C15" t="s">
        <v>21</v>
      </c>
      <c r="D15" t="s">
        <v>26</v>
      </c>
      <c r="E15" t="s">
        <v>23</v>
      </c>
      <c r="F15">
        <v>684</v>
      </c>
      <c r="G15">
        <v>1349</v>
      </c>
      <c r="H15">
        <v>5.43</v>
      </c>
      <c r="I15">
        <v>0.27</v>
      </c>
      <c r="J15">
        <v>5.16</v>
      </c>
      <c r="K15" t="str">
        <f t="shared" si="0"/>
        <v>VALID</v>
      </c>
    </row>
    <row r="16" spans="1:11" x14ac:dyDescent="0.3">
      <c r="A16" t="s">
        <v>36</v>
      </c>
      <c r="B16" t="s">
        <v>29</v>
      </c>
      <c r="C16" t="s">
        <v>25</v>
      </c>
      <c r="D16" t="s">
        <v>26</v>
      </c>
      <c r="E16" t="s">
        <v>27</v>
      </c>
      <c r="F16">
        <v>8978</v>
      </c>
      <c r="G16">
        <v>3637</v>
      </c>
      <c r="H16">
        <v>4.71</v>
      </c>
      <c r="I16">
        <v>0.08</v>
      </c>
      <c r="J16">
        <v>4.63</v>
      </c>
      <c r="K16" t="str">
        <f t="shared" si="0"/>
        <v>VALID</v>
      </c>
    </row>
    <row r="17" spans="1:11" x14ac:dyDescent="0.3">
      <c r="A17" t="s">
        <v>36</v>
      </c>
      <c r="B17" t="s">
        <v>29</v>
      </c>
      <c r="C17" t="s">
        <v>21</v>
      </c>
      <c r="D17" t="s">
        <v>31</v>
      </c>
      <c r="E17" t="s">
        <v>32</v>
      </c>
      <c r="F17">
        <v>3336</v>
      </c>
      <c r="G17">
        <v>2526</v>
      </c>
      <c r="H17">
        <v>6.14</v>
      </c>
      <c r="I17">
        <v>0.63</v>
      </c>
      <c r="J17">
        <v>5.51</v>
      </c>
      <c r="K17" t="str">
        <f t="shared" si="0"/>
        <v>VALID</v>
      </c>
    </row>
    <row r="18" spans="1:11" x14ac:dyDescent="0.3">
      <c r="A18" t="s">
        <v>36</v>
      </c>
      <c r="B18" t="s">
        <v>29</v>
      </c>
      <c r="C18" t="s">
        <v>25</v>
      </c>
      <c r="D18" t="s">
        <v>26</v>
      </c>
      <c r="E18" t="s">
        <v>27</v>
      </c>
      <c r="F18">
        <v>8978</v>
      </c>
      <c r="G18">
        <v>3637</v>
      </c>
      <c r="H18">
        <v>4.71</v>
      </c>
      <c r="I18">
        <v>0.08</v>
      </c>
      <c r="J18">
        <v>4.63</v>
      </c>
      <c r="K18" t="str">
        <f t="shared" si="0"/>
        <v>VALID</v>
      </c>
    </row>
    <row r="19" spans="1:11" x14ac:dyDescent="0.3">
      <c r="A19" t="s">
        <v>36</v>
      </c>
      <c r="B19" t="s">
        <v>29</v>
      </c>
      <c r="C19" t="s">
        <v>21</v>
      </c>
      <c r="D19" t="s">
        <v>31</v>
      </c>
      <c r="E19" t="s">
        <v>27</v>
      </c>
      <c r="F19">
        <v>3336</v>
      </c>
      <c r="G19">
        <v>2526</v>
      </c>
      <c r="H19">
        <v>6.14</v>
      </c>
      <c r="I19">
        <v>0.63</v>
      </c>
      <c r="J19">
        <v>5.51</v>
      </c>
      <c r="K19" t="str">
        <f t="shared" si="0"/>
        <v>VALID</v>
      </c>
    </row>
    <row r="20" spans="1:11" x14ac:dyDescent="0.3">
      <c r="A20" t="s">
        <v>36</v>
      </c>
      <c r="B20" t="s">
        <v>29</v>
      </c>
      <c r="C20" t="s">
        <v>21</v>
      </c>
      <c r="D20" t="s">
        <v>26</v>
      </c>
      <c r="E20" t="s">
        <v>23</v>
      </c>
      <c r="F20">
        <v>684</v>
      </c>
      <c r="G20">
        <v>1349</v>
      </c>
      <c r="H20">
        <v>5.43</v>
      </c>
      <c r="I20">
        <v>0.27</v>
      </c>
      <c r="J20">
        <v>5.16</v>
      </c>
      <c r="K20" t="str">
        <f t="shared" si="0"/>
        <v>VALID</v>
      </c>
    </row>
    <row r="21" spans="1:11" x14ac:dyDescent="0.3">
      <c r="A21" t="s">
        <v>36</v>
      </c>
      <c r="B21" t="s">
        <v>29</v>
      </c>
      <c r="C21" t="s">
        <v>25</v>
      </c>
      <c r="D21" t="s">
        <v>26</v>
      </c>
      <c r="E21" t="s">
        <v>27</v>
      </c>
      <c r="F21">
        <v>8978</v>
      </c>
      <c r="G21">
        <v>3637</v>
      </c>
      <c r="H21">
        <v>4.71</v>
      </c>
      <c r="I21">
        <v>0.08</v>
      </c>
      <c r="J21">
        <v>4.63</v>
      </c>
      <c r="K21" t="str">
        <f t="shared" si="0"/>
        <v>VALID</v>
      </c>
    </row>
    <row r="22" spans="1:11" x14ac:dyDescent="0.3">
      <c r="A22" t="s">
        <v>36</v>
      </c>
      <c r="B22" t="s">
        <v>29</v>
      </c>
      <c r="C22" t="s">
        <v>21</v>
      </c>
      <c r="D22" t="s">
        <v>31</v>
      </c>
      <c r="E22" t="s">
        <v>27</v>
      </c>
      <c r="F22">
        <v>3336</v>
      </c>
      <c r="G22">
        <v>2526</v>
      </c>
      <c r="H22">
        <v>6.14</v>
      </c>
      <c r="I22">
        <v>0.63</v>
      </c>
      <c r="J22">
        <v>5.51</v>
      </c>
      <c r="K22" t="str">
        <f t="shared" si="0"/>
        <v>VALID</v>
      </c>
    </row>
    <row r="23" spans="1:11" x14ac:dyDescent="0.3">
      <c r="A23" t="s">
        <v>36</v>
      </c>
      <c r="B23" t="s">
        <v>29</v>
      </c>
      <c r="C23" t="s">
        <v>21</v>
      </c>
      <c r="D23" t="s">
        <v>26</v>
      </c>
      <c r="E23" t="s">
        <v>23</v>
      </c>
      <c r="F23">
        <v>684</v>
      </c>
      <c r="G23">
        <v>1349</v>
      </c>
      <c r="H23">
        <v>5.43</v>
      </c>
      <c r="I23">
        <v>0.27</v>
      </c>
      <c r="J23">
        <v>5.16</v>
      </c>
      <c r="K23" t="str">
        <f t="shared" si="0"/>
        <v>VALID</v>
      </c>
    </row>
    <row r="24" spans="1:11" x14ac:dyDescent="0.3">
      <c r="A24" t="s">
        <v>36</v>
      </c>
      <c r="B24" t="s">
        <v>29</v>
      </c>
      <c r="C24" t="s">
        <v>21</v>
      </c>
      <c r="D24" t="s">
        <v>26</v>
      </c>
      <c r="E24" t="s">
        <v>23</v>
      </c>
      <c r="F24">
        <v>684</v>
      </c>
      <c r="G24">
        <v>1349</v>
      </c>
      <c r="H24">
        <v>5.43</v>
      </c>
      <c r="I24">
        <v>0.27</v>
      </c>
      <c r="J24">
        <v>5.16</v>
      </c>
      <c r="K24" t="str">
        <f t="shared" si="0"/>
        <v>VALID</v>
      </c>
    </row>
    <row r="25" spans="1:11" x14ac:dyDescent="0.3">
      <c r="A25" t="s">
        <v>36</v>
      </c>
      <c r="B25" t="s">
        <v>29</v>
      </c>
      <c r="C25" t="s">
        <v>25</v>
      </c>
      <c r="D25" t="s">
        <v>26</v>
      </c>
      <c r="E25" t="s">
        <v>27</v>
      </c>
      <c r="F25">
        <v>8978</v>
      </c>
      <c r="G25">
        <v>3637</v>
      </c>
      <c r="H25">
        <v>4.71</v>
      </c>
      <c r="I25">
        <v>0.08</v>
      </c>
      <c r="J25">
        <v>4.63</v>
      </c>
      <c r="K25" t="str">
        <f t="shared" si="0"/>
        <v>VALID</v>
      </c>
    </row>
    <row r="26" spans="1:11" x14ac:dyDescent="0.3">
      <c r="A26" t="s">
        <v>36</v>
      </c>
      <c r="B26" t="s">
        <v>29</v>
      </c>
      <c r="C26" t="s">
        <v>25</v>
      </c>
      <c r="D26" t="s">
        <v>26</v>
      </c>
      <c r="E26" t="s">
        <v>27</v>
      </c>
      <c r="F26">
        <v>8978</v>
      </c>
      <c r="H26">
        <v>4.71</v>
      </c>
      <c r="I26">
        <v>0.08</v>
      </c>
      <c r="J26">
        <v>4.63</v>
      </c>
      <c r="K26" t="str">
        <f t="shared" si="0"/>
        <v>VALID</v>
      </c>
    </row>
    <row r="27" spans="1:11" x14ac:dyDescent="0.3">
      <c r="A27" t="s">
        <v>36</v>
      </c>
      <c r="B27" t="s">
        <v>34</v>
      </c>
      <c r="C27" t="s">
        <v>25</v>
      </c>
      <c r="D27" t="s">
        <v>22</v>
      </c>
      <c r="E27" t="s">
        <v>23</v>
      </c>
      <c r="F27">
        <v>3710</v>
      </c>
      <c r="G27">
        <v>3388</v>
      </c>
      <c r="H27">
        <v>8.73</v>
      </c>
      <c r="I27">
        <v>1.18</v>
      </c>
      <c r="J27">
        <v>7.55</v>
      </c>
      <c r="K27" t="str">
        <f t="shared" si="0"/>
        <v>VALID</v>
      </c>
    </row>
    <row r="28" spans="1:11" x14ac:dyDescent="0.3">
      <c r="A28" t="s">
        <v>54</v>
      </c>
      <c r="B28" t="s">
        <v>20</v>
      </c>
      <c r="C28" t="s">
        <v>30</v>
      </c>
      <c r="D28" t="s">
        <v>26</v>
      </c>
      <c r="E28" t="s">
        <v>32</v>
      </c>
      <c r="F28">
        <v>5683</v>
      </c>
      <c r="G28">
        <v>5055</v>
      </c>
      <c r="H28">
        <v>4.59</v>
      </c>
      <c r="I28">
        <v>0.17</v>
      </c>
      <c r="J28">
        <v>4.42</v>
      </c>
      <c r="K28" t="str">
        <f t="shared" si="0"/>
        <v>VALID</v>
      </c>
    </row>
    <row r="29" spans="1:11" x14ac:dyDescent="0.3">
      <c r="A29" t="s">
        <v>96</v>
      </c>
      <c r="B29" t="s">
        <v>34</v>
      </c>
      <c r="C29" t="s">
        <v>21</v>
      </c>
      <c r="D29" t="s">
        <v>22</v>
      </c>
      <c r="E29" t="s">
        <v>23</v>
      </c>
      <c r="F29">
        <v>4512</v>
      </c>
      <c r="G29">
        <v>1543</v>
      </c>
      <c r="H29">
        <v>5.16</v>
      </c>
      <c r="I29">
        <v>0.03</v>
      </c>
      <c r="J29">
        <v>5.13</v>
      </c>
      <c r="K29" t="str">
        <f t="shared" si="0"/>
        <v>VALID</v>
      </c>
    </row>
    <row r="30" spans="1:11" x14ac:dyDescent="0.3">
      <c r="A30" t="s">
        <v>24</v>
      </c>
      <c r="B30" t="s">
        <v>20</v>
      </c>
      <c r="C30" t="s">
        <v>25</v>
      </c>
      <c r="D30" t="s">
        <v>26</v>
      </c>
      <c r="E30" t="s">
        <v>27</v>
      </c>
      <c r="F30">
        <v>8608</v>
      </c>
      <c r="G30">
        <v>1381</v>
      </c>
      <c r="H30">
        <v>5.24</v>
      </c>
      <c r="I30">
        <v>0.17</v>
      </c>
      <c r="J30">
        <v>5.07</v>
      </c>
      <c r="K30" t="str">
        <f t="shared" si="0"/>
        <v>VALID</v>
      </c>
    </row>
    <row r="31" spans="1:11" x14ac:dyDescent="0.3">
      <c r="A31" t="s">
        <v>24</v>
      </c>
      <c r="B31" t="s">
        <v>29</v>
      </c>
      <c r="C31" t="s">
        <v>21</v>
      </c>
      <c r="D31" t="s">
        <v>26</v>
      </c>
      <c r="E31" t="s">
        <v>23</v>
      </c>
      <c r="F31">
        <v>2268</v>
      </c>
      <c r="G31">
        <v>5211</v>
      </c>
      <c r="H31">
        <v>9.7799999999999994</v>
      </c>
      <c r="I31">
        <v>0.33</v>
      </c>
      <c r="J31">
        <v>9.4499999999999993</v>
      </c>
      <c r="K31" t="str">
        <f t="shared" si="0"/>
        <v>VALID</v>
      </c>
    </row>
    <row r="32" spans="1:11" x14ac:dyDescent="0.3">
      <c r="A32" t="s">
        <v>24</v>
      </c>
      <c r="B32" t="s">
        <v>20</v>
      </c>
      <c r="C32" t="s">
        <v>25</v>
      </c>
      <c r="D32" t="s">
        <v>26</v>
      </c>
      <c r="E32" t="s">
        <v>27</v>
      </c>
      <c r="F32">
        <v>8608</v>
      </c>
      <c r="G32">
        <v>1381</v>
      </c>
      <c r="H32">
        <v>5.24</v>
      </c>
      <c r="I32">
        <v>0.17</v>
      </c>
      <c r="J32">
        <v>5.07</v>
      </c>
      <c r="K32" t="str">
        <f t="shared" si="0"/>
        <v>VALID</v>
      </c>
    </row>
    <row r="33" spans="1:11" x14ac:dyDescent="0.3">
      <c r="A33" t="s">
        <v>85</v>
      </c>
      <c r="B33" t="s">
        <v>20</v>
      </c>
      <c r="C33" t="s">
        <v>30</v>
      </c>
      <c r="D33" t="s">
        <v>31</v>
      </c>
      <c r="E33" t="s">
        <v>27</v>
      </c>
      <c r="F33">
        <v>3338</v>
      </c>
      <c r="G33">
        <v>3878</v>
      </c>
      <c r="H33">
        <v>9.27</v>
      </c>
      <c r="I33">
        <v>0.35</v>
      </c>
      <c r="J33">
        <v>8.92</v>
      </c>
      <c r="K33" t="str">
        <f t="shared" si="0"/>
        <v>VALID</v>
      </c>
    </row>
    <row r="34" spans="1:11" x14ac:dyDescent="0.3">
      <c r="A34" t="s">
        <v>85</v>
      </c>
      <c r="B34" t="s">
        <v>34</v>
      </c>
      <c r="C34" t="s">
        <v>21</v>
      </c>
      <c r="D34" t="s">
        <v>26</v>
      </c>
      <c r="E34" t="s">
        <v>27</v>
      </c>
      <c r="F34">
        <v>5401</v>
      </c>
      <c r="G34">
        <v>78</v>
      </c>
      <c r="H34">
        <v>8.17</v>
      </c>
      <c r="I34">
        <v>0.51</v>
      </c>
      <c r="J34">
        <v>7.66</v>
      </c>
      <c r="K34" t="str">
        <f t="shared" si="0"/>
        <v>VALID</v>
      </c>
    </row>
    <row r="35" spans="1:11" x14ac:dyDescent="0.3">
      <c r="A35" t="s">
        <v>85</v>
      </c>
      <c r="B35" t="s">
        <v>29</v>
      </c>
      <c r="C35" t="s">
        <v>30</v>
      </c>
      <c r="D35" t="s">
        <v>26</v>
      </c>
      <c r="E35" t="s">
        <v>23</v>
      </c>
      <c r="F35">
        <v>938</v>
      </c>
      <c r="G35">
        <v>2671</v>
      </c>
      <c r="H35">
        <v>6.8</v>
      </c>
      <c r="I35">
        <v>0.97</v>
      </c>
      <c r="J35">
        <v>5.83</v>
      </c>
      <c r="K35" t="str">
        <f t="shared" si="0"/>
        <v>VALID</v>
      </c>
    </row>
    <row r="36" spans="1:11" x14ac:dyDescent="0.3">
      <c r="A36" t="s">
        <v>85</v>
      </c>
      <c r="B36" t="s">
        <v>20</v>
      </c>
      <c r="C36" t="s">
        <v>30</v>
      </c>
      <c r="D36" t="s">
        <v>31</v>
      </c>
      <c r="E36" t="s">
        <v>27</v>
      </c>
      <c r="F36">
        <v>3338</v>
      </c>
      <c r="G36">
        <v>3878</v>
      </c>
      <c r="H36">
        <v>9.27</v>
      </c>
      <c r="I36">
        <v>0.35</v>
      </c>
      <c r="J36">
        <v>8.92</v>
      </c>
      <c r="K36" t="str">
        <f t="shared" si="0"/>
        <v>VALID</v>
      </c>
    </row>
    <row r="37" spans="1:11" x14ac:dyDescent="0.3">
      <c r="A37" t="s">
        <v>85</v>
      </c>
      <c r="B37" t="s">
        <v>29</v>
      </c>
      <c r="C37" t="s">
        <v>30</v>
      </c>
      <c r="D37" t="s">
        <v>26</v>
      </c>
      <c r="E37" t="s">
        <v>23</v>
      </c>
      <c r="F37">
        <v>938</v>
      </c>
      <c r="G37">
        <v>2671</v>
      </c>
      <c r="H37">
        <v>6.8</v>
      </c>
      <c r="I37">
        <v>0.97</v>
      </c>
      <c r="J37">
        <v>5.83</v>
      </c>
      <c r="K37" t="str">
        <f t="shared" si="0"/>
        <v>VALID</v>
      </c>
    </row>
    <row r="38" spans="1:11" x14ac:dyDescent="0.3">
      <c r="A38" t="s">
        <v>85</v>
      </c>
      <c r="B38" t="s">
        <v>20</v>
      </c>
      <c r="C38" t="s">
        <v>30</v>
      </c>
      <c r="D38" t="s">
        <v>31</v>
      </c>
      <c r="E38" t="s">
        <v>27</v>
      </c>
      <c r="F38">
        <v>3338</v>
      </c>
      <c r="G38">
        <v>3878</v>
      </c>
      <c r="H38">
        <v>9.27</v>
      </c>
      <c r="I38">
        <v>0.35</v>
      </c>
      <c r="J38">
        <v>8.92</v>
      </c>
      <c r="K38" t="str">
        <f t="shared" si="0"/>
        <v>VALID</v>
      </c>
    </row>
    <row r="39" spans="1:11" x14ac:dyDescent="0.3">
      <c r="A39" t="s">
        <v>87</v>
      </c>
      <c r="B39" t="s">
        <v>20</v>
      </c>
      <c r="C39" t="s">
        <v>21</v>
      </c>
      <c r="D39" t="s">
        <v>31</v>
      </c>
      <c r="E39" t="s">
        <v>23</v>
      </c>
      <c r="F39">
        <v>2208</v>
      </c>
      <c r="G39">
        <v>3296</v>
      </c>
      <c r="H39">
        <v>6.97</v>
      </c>
      <c r="I39">
        <v>0.23</v>
      </c>
      <c r="J39">
        <v>6.74</v>
      </c>
      <c r="K39" t="str">
        <f t="shared" si="0"/>
        <v>VALID</v>
      </c>
    </row>
    <row r="40" spans="1:11" x14ac:dyDescent="0.3">
      <c r="A40" t="s">
        <v>87</v>
      </c>
      <c r="B40" t="s">
        <v>20</v>
      </c>
      <c r="C40" t="s">
        <v>21</v>
      </c>
      <c r="D40" t="s">
        <v>31</v>
      </c>
      <c r="E40" t="s">
        <v>23</v>
      </c>
      <c r="F40">
        <v>2208</v>
      </c>
      <c r="G40">
        <v>3296</v>
      </c>
      <c r="H40">
        <v>6.97</v>
      </c>
      <c r="I40">
        <v>0.23</v>
      </c>
      <c r="J40">
        <v>6.74</v>
      </c>
      <c r="K40" t="str">
        <f t="shared" si="0"/>
        <v>VALID</v>
      </c>
    </row>
    <row r="41" spans="1:11" x14ac:dyDescent="0.3">
      <c r="A41" t="s">
        <v>87</v>
      </c>
      <c r="B41" t="s">
        <v>20</v>
      </c>
      <c r="C41" t="s">
        <v>25</v>
      </c>
      <c r="D41" t="s">
        <v>26</v>
      </c>
      <c r="E41" t="s">
        <v>23</v>
      </c>
      <c r="F41">
        <v>1812</v>
      </c>
      <c r="G41">
        <v>4496</v>
      </c>
      <c r="H41">
        <v>4.7699999999999996</v>
      </c>
      <c r="I41">
        <v>1.1299999999999999</v>
      </c>
      <c r="J41">
        <v>3.64</v>
      </c>
      <c r="K41" t="str">
        <f t="shared" si="0"/>
        <v>VALID</v>
      </c>
    </row>
    <row r="42" spans="1:11" x14ac:dyDescent="0.3">
      <c r="A42" t="s">
        <v>87</v>
      </c>
      <c r="B42" t="s">
        <v>20</v>
      </c>
      <c r="C42" t="s">
        <v>21</v>
      </c>
      <c r="D42" t="s">
        <v>31</v>
      </c>
      <c r="E42" t="s">
        <v>23</v>
      </c>
      <c r="F42">
        <v>2208</v>
      </c>
      <c r="G42">
        <v>3296</v>
      </c>
      <c r="H42">
        <v>6.97</v>
      </c>
      <c r="I42">
        <v>0.23</v>
      </c>
      <c r="J42">
        <v>6.74</v>
      </c>
      <c r="K42" t="str">
        <f t="shared" si="0"/>
        <v>VALID</v>
      </c>
    </row>
    <row r="43" spans="1:11" x14ac:dyDescent="0.3">
      <c r="A43" t="s">
        <v>102</v>
      </c>
      <c r="B43" t="s">
        <v>20</v>
      </c>
      <c r="C43" t="s">
        <v>25</v>
      </c>
      <c r="D43" t="s">
        <v>26</v>
      </c>
      <c r="E43" t="s">
        <v>23</v>
      </c>
      <c r="F43">
        <v>566</v>
      </c>
      <c r="G43">
        <v>2310</v>
      </c>
      <c r="H43">
        <v>8.84</v>
      </c>
      <c r="I43">
        <v>1.88</v>
      </c>
      <c r="J43">
        <v>6.96</v>
      </c>
      <c r="K43" t="str">
        <f t="shared" si="0"/>
        <v>VALID</v>
      </c>
    </row>
    <row r="44" spans="1:11" x14ac:dyDescent="0.3">
      <c r="A44" t="s">
        <v>102</v>
      </c>
      <c r="B44" t="s">
        <v>20</v>
      </c>
      <c r="C44" t="s">
        <v>25</v>
      </c>
      <c r="D44" t="s">
        <v>26</v>
      </c>
      <c r="E44" t="s">
        <v>23</v>
      </c>
      <c r="F44">
        <v>566</v>
      </c>
      <c r="G44">
        <v>2310</v>
      </c>
      <c r="H44">
        <v>8.84</v>
      </c>
      <c r="I44">
        <v>1.88</v>
      </c>
      <c r="J44">
        <v>6.96</v>
      </c>
      <c r="K44" t="str">
        <f t="shared" si="0"/>
        <v>VALID</v>
      </c>
    </row>
    <row r="45" spans="1:11" x14ac:dyDescent="0.3">
      <c r="A45" t="s">
        <v>59</v>
      </c>
      <c r="B45" t="s">
        <v>34</v>
      </c>
      <c r="C45" t="s">
        <v>30</v>
      </c>
      <c r="D45" t="s">
        <v>31</v>
      </c>
      <c r="E45" t="s">
        <v>32</v>
      </c>
      <c r="F45">
        <v>2749</v>
      </c>
      <c r="G45">
        <v>3981</v>
      </c>
      <c r="H45">
        <v>7.71</v>
      </c>
      <c r="I45">
        <v>1.65</v>
      </c>
      <c r="J45">
        <v>6.06</v>
      </c>
      <c r="K45" t="str">
        <f t="shared" si="0"/>
        <v>VALID</v>
      </c>
    </row>
    <row r="46" spans="1:11" x14ac:dyDescent="0.3">
      <c r="A46" t="s">
        <v>59</v>
      </c>
      <c r="B46" t="s">
        <v>29</v>
      </c>
      <c r="C46" t="s">
        <v>25</v>
      </c>
      <c r="D46" t="s">
        <v>31</v>
      </c>
      <c r="E46" t="s">
        <v>23</v>
      </c>
      <c r="F46">
        <v>866</v>
      </c>
      <c r="G46">
        <v>5665</v>
      </c>
      <c r="H46">
        <v>4.41</v>
      </c>
      <c r="I46">
        <v>0.72</v>
      </c>
      <c r="J46">
        <v>3.69</v>
      </c>
      <c r="K46" t="str">
        <f t="shared" si="0"/>
        <v>VALID</v>
      </c>
    </row>
    <row r="47" spans="1:11" x14ac:dyDescent="0.3">
      <c r="A47" t="s">
        <v>59</v>
      </c>
      <c r="B47" t="s">
        <v>29</v>
      </c>
      <c r="C47" t="s">
        <v>25</v>
      </c>
      <c r="D47" t="s">
        <v>31</v>
      </c>
      <c r="E47" t="s">
        <v>23</v>
      </c>
      <c r="F47">
        <v>866</v>
      </c>
      <c r="G47">
        <v>5665</v>
      </c>
      <c r="H47">
        <v>4.41</v>
      </c>
      <c r="I47">
        <v>0.72</v>
      </c>
      <c r="J47">
        <v>3.69</v>
      </c>
      <c r="K47" t="str">
        <f t="shared" si="0"/>
        <v>VALID</v>
      </c>
    </row>
    <row r="48" spans="1:11" x14ac:dyDescent="0.3">
      <c r="A48" t="s">
        <v>42</v>
      </c>
      <c r="B48" t="s">
        <v>20</v>
      </c>
      <c r="C48" t="s">
        <v>21</v>
      </c>
      <c r="D48" t="s">
        <v>31</v>
      </c>
      <c r="E48" t="s">
        <v>23</v>
      </c>
      <c r="F48">
        <v>8322</v>
      </c>
      <c r="G48">
        <v>5039</v>
      </c>
      <c r="H48">
        <v>9.36</v>
      </c>
      <c r="I48">
        <v>1.99</v>
      </c>
      <c r="J48">
        <v>7.37</v>
      </c>
      <c r="K48" t="str">
        <f t="shared" si="0"/>
        <v>VALID</v>
      </c>
    </row>
    <row r="49" spans="1:11" x14ac:dyDescent="0.3">
      <c r="A49" t="s">
        <v>42</v>
      </c>
      <c r="B49" t="s">
        <v>29</v>
      </c>
      <c r="C49" t="s">
        <v>21</v>
      </c>
      <c r="D49" t="s">
        <v>22</v>
      </c>
      <c r="E49" t="s">
        <v>27</v>
      </c>
      <c r="F49">
        <v>6140</v>
      </c>
      <c r="G49">
        <v>68</v>
      </c>
      <c r="H49">
        <v>5.95</v>
      </c>
      <c r="I49">
        <v>0.06</v>
      </c>
      <c r="J49">
        <v>5.89</v>
      </c>
      <c r="K49" t="str">
        <f t="shared" si="0"/>
        <v>VALID</v>
      </c>
    </row>
    <row r="50" spans="1:11" x14ac:dyDescent="0.3">
      <c r="A50" t="s">
        <v>42</v>
      </c>
      <c r="B50" t="s">
        <v>29</v>
      </c>
      <c r="C50" t="s">
        <v>21</v>
      </c>
      <c r="D50" t="s">
        <v>22</v>
      </c>
      <c r="E50" t="s">
        <v>27</v>
      </c>
      <c r="F50">
        <v>6140</v>
      </c>
      <c r="G50">
        <v>68</v>
      </c>
      <c r="H50">
        <v>5.95</v>
      </c>
      <c r="I50">
        <v>0.06</v>
      </c>
      <c r="J50">
        <v>5.89</v>
      </c>
      <c r="K50" t="str">
        <f t="shared" si="0"/>
        <v>VALID</v>
      </c>
    </row>
    <row r="51" spans="1:11" x14ac:dyDescent="0.3">
      <c r="A51" t="s">
        <v>42</v>
      </c>
      <c r="B51" t="s">
        <v>20</v>
      </c>
      <c r="C51" t="s">
        <v>21</v>
      </c>
      <c r="D51" t="s">
        <v>31</v>
      </c>
      <c r="E51" t="s">
        <v>23</v>
      </c>
      <c r="F51">
        <v>8322</v>
      </c>
      <c r="H51">
        <v>9.36</v>
      </c>
      <c r="I51">
        <v>1.99</v>
      </c>
      <c r="J51">
        <v>7.37</v>
      </c>
      <c r="K51" t="str">
        <f t="shared" si="0"/>
        <v>VALID</v>
      </c>
    </row>
    <row r="52" spans="1:11" x14ac:dyDescent="0.3">
      <c r="A52" t="s">
        <v>42</v>
      </c>
      <c r="B52" t="s">
        <v>29</v>
      </c>
      <c r="C52" t="s">
        <v>21</v>
      </c>
      <c r="D52" t="s">
        <v>22</v>
      </c>
      <c r="E52" t="s">
        <v>27</v>
      </c>
      <c r="F52">
        <v>6140</v>
      </c>
      <c r="G52">
        <v>68</v>
      </c>
      <c r="H52">
        <v>5.95</v>
      </c>
      <c r="I52">
        <v>0.06</v>
      </c>
      <c r="J52">
        <v>5.89</v>
      </c>
      <c r="K52" t="str">
        <f t="shared" si="0"/>
        <v>VALID</v>
      </c>
    </row>
    <row r="53" spans="1:11" x14ac:dyDescent="0.3">
      <c r="A53" t="s">
        <v>42</v>
      </c>
      <c r="B53" t="s">
        <v>20</v>
      </c>
      <c r="C53" t="s">
        <v>21</v>
      </c>
      <c r="D53" t="s">
        <v>31</v>
      </c>
      <c r="E53" t="s">
        <v>23</v>
      </c>
      <c r="F53">
        <v>8322</v>
      </c>
      <c r="G53">
        <v>5039</v>
      </c>
      <c r="H53">
        <v>9.36</v>
      </c>
      <c r="I53">
        <v>1.99</v>
      </c>
      <c r="J53">
        <v>7.37</v>
      </c>
      <c r="K53" t="str">
        <f t="shared" si="0"/>
        <v>VALID</v>
      </c>
    </row>
    <row r="54" spans="1:11" x14ac:dyDescent="0.3">
      <c r="A54" t="s">
        <v>42</v>
      </c>
      <c r="B54" t="s">
        <v>29</v>
      </c>
      <c r="C54" t="s">
        <v>30</v>
      </c>
      <c r="D54" t="s">
        <v>22</v>
      </c>
      <c r="E54" t="s">
        <v>27</v>
      </c>
      <c r="F54">
        <v>5415</v>
      </c>
      <c r="G54">
        <v>5800</v>
      </c>
      <c r="H54">
        <v>4.57</v>
      </c>
      <c r="I54">
        <v>0.38</v>
      </c>
      <c r="J54">
        <v>4.1900000000000004</v>
      </c>
      <c r="K54" t="str">
        <f t="shared" si="0"/>
        <v>VALID</v>
      </c>
    </row>
    <row r="55" spans="1:11" x14ac:dyDescent="0.3">
      <c r="A55" t="s">
        <v>42</v>
      </c>
      <c r="B55" t="s">
        <v>29</v>
      </c>
      <c r="C55" t="s">
        <v>30</v>
      </c>
      <c r="D55" t="s">
        <v>22</v>
      </c>
      <c r="E55" t="s">
        <v>27</v>
      </c>
      <c r="F55">
        <v>5415</v>
      </c>
      <c r="G55">
        <v>5800</v>
      </c>
      <c r="H55">
        <v>4.57</v>
      </c>
      <c r="I55">
        <v>0.38</v>
      </c>
      <c r="J55">
        <v>4.1900000000000004</v>
      </c>
      <c r="K55" t="str">
        <f t="shared" si="0"/>
        <v>VALID</v>
      </c>
    </row>
    <row r="56" spans="1:11" x14ac:dyDescent="0.3">
      <c r="A56" t="s">
        <v>42</v>
      </c>
      <c r="B56" t="s">
        <v>29</v>
      </c>
      <c r="C56" t="s">
        <v>30</v>
      </c>
      <c r="D56" t="s">
        <v>22</v>
      </c>
      <c r="E56" t="s">
        <v>27</v>
      </c>
      <c r="F56">
        <v>5415</v>
      </c>
      <c r="G56">
        <v>5800</v>
      </c>
      <c r="H56">
        <v>4.57</v>
      </c>
      <c r="I56">
        <v>0.38</v>
      </c>
      <c r="J56">
        <v>4.1900000000000004</v>
      </c>
      <c r="K56" t="str">
        <f t="shared" si="0"/>
        <v>VALID</v>
      </c>
    </row>
    <row r="57" spans="1:11" x14ac:dyDescent="0.3">
      <c r="A57" t="s">
        <v>46</v>
      </c>
      <c r="B57" t="s">
        <v>29</v>
      </c>
      <c r="C57" t="s">
        <v>21</v>
      </c>
      <c r="D57" t="s">
        <v>31</v>
      </c>
      <c r="E57" t="s">
        <v>27</v>
      </c>
      <c r="F57">
        <v>7864</v>
      </c>
      <c r="G57">
        <v>4876</v>
      </c>
      <c r="H57">
        <v>6.23</v>
      </c>
      <c r="I57">
        <v>1.01</v>
      </c>
      <c r="J57">
        <v>5.22</v>
      </c>
      <c r="K57" t="str">
        <f t="shared" si="0"/>
        <v>VALID</v>
      </c>
    </row>
    <row r="58" spans="1:11" x14ac:dyDescent="0.3">
      <c r="A58" t="s">
        <v>46</v>
      </c>
      <c r="B58" t="s">
        <v>29</v>
      </c>
      <c r="C58" t="s">
        <v>21</v>
      </c>
      <c r="D58" t="s">
        <v>26</v>
      </c>
      <c r="E58" t="s">
        <v>27</v>
      </c>
      <c r="F58">
        <v>4629</v>
      </c>
      <c r="G58">
        <v>6379</v>
      </c>
      <c r="H58">
        <v>6.26</v>
      </c>
      <c r="I58">
        <v>1.64</v>
      </c>
      <c r="J58">
        <v>4.62</v>
      </c>
      <c r="K58" t="str">
        <f t="shared" si="0"/>
        <v>VALID</v>
      </c>
    </row>
    <row r="59" spans="1:11" x14ac:dyDescent="0.3">
      <c r="A59" t="s">
        <v>46</v>
      </c>
      <c r="B59" t="s">
        <v>29</v>
      </c>
      <c r="C59" t="s">
        <v>21</v>
      </c>
      <c r="D59" t="s">
        <v>26</v>
      </c>
      <c r="E59" t="s">
        <v>27</v>
      </c>
      <c r="F59">
        <v>4629</v>
      </c>
      <c r="G59">
        <v>6379</v>
      </c>
      <c r="H59">
        <v>6.26</v>
      </c>
      <c r="I59">
        <v>1.64</v>
      </c>
      <c r="J59">
        <v>4.62</v>
      </c>
      <c r="K59" t="str">
        <f t="shared" si="0"/>
        <v>VALID</v>
      </c>
    </row>
    <row r="60" spans="1:11" x14ac:dyDescent="0.3">
      <c r="A60" t="s">
        <v>46</v>
      </c>
      <c r="B60" t="s">
        <v>20</v>
      </c>
      <c r="C60" t="s">
        <v>30</v>
      </c>
      <c r="D60" t="s">
        <v>26</v>
      </c>
      <c r="E60" t="s">
        <v>27</v>
      </c>
      <c r="F60">
        <v>4466</v>
      </c>
      <c r="G60">
        <v>3023</v>
      </c>
      <c r="H60">
        <v>8.98</v>
      </c>
      <c r="I60">
        <v>0.75</v>
      </c>
      <c r="J60">
        <v>8.23</v>
      </c>
      <c r="K60" t="str">
        <f t="shared" si="0"/>
        <v>VALID</v>
      </c>
    </row>
    <row r="61" spans="1:11" x14ac:dyDescent="0.3">
      <c r="A61" t="s">
        <v>46</v>
      </c>
      <c r="B61" t="s">
        <v>29</v>
      </c>
      <c r="C61" t="s">
        <v>21</v>
      </c>
      <c r="D61" t="s">
        <v>31</v>
      </c>
      <c r="E61" t="s">
        <v>27</v>
      </c>
      <c r="G61">
        <v>4876</v>
      </c>
      <c r="H61">
        <v>6.23</v>
      </c>
      <c r="I61">
        <v>1.01</v>
      </c>
      <c r="J61">
        <v>5.22</v>
      </c>
      <c r="K61" t="str">
        <f t="shared" si="0"/>
        <v>VALID</v>
      </c>
    </row>
    <row r="62" spans="1:11" x14ac:dyDescent="0.3">
      <c r="A62" t="s">
        <v>46</v>
      </c>
      <c r="B62" t="s">
        <v>20</v>
      </c>
      <c r="C62" t="s">
        <v>21</v>
      </c>
      <c r="D62" t="s">
        <v>31</v>
      </c>
      <c r="E62" t="s">
        <v>23</v>
      </c>
      <c r="G62">
        <v>4358</v>
      </c>
      <c r="H62">
        <v>6.25</v>
      </c>
      <c r="I62">
        <v>0.94</v>
      </c>
      <c r="J62">
        <v>5.31</v>
      </c>
      <c r="K62" t="str">
        <f t="shared" si="0"/>
        <v>VALID</v>
      </c>
    </row>
    <row r="63" spans="1:11" x14ac:dyDescent="0.3">
      <c r="A63" t="s">
        <v>46</v>
      </c>
      <c r="B63" t="s">
        <v>20</v>
      </c>
      <c r="C63" t="s">
        <v>30</v>
      </c>
      <c r="D63" t="s">
        <v>26</v>
      </c>
      <c r="E63" t="s">
        <v>32</v>
      </c>
      <c r="F63">
        <v>4466</v>
      </c>
      <c r="G63">
        <v>3023</v>
      </c>
      <c r="H63">
        <v>8.98</v>
      </c>
      <c r="I63">
        <v>0.75</v>
      </c>
      <c r="J63">
        <v>8.23</v>
      </c>
      <c r="K63" t="str">
        <f t="shared" si="0"/>
        <v>VALID</v>
      </c>
    </row>
    <row r="64" spans="1:11" x14ac:dyDescent="0.3">
      <c r="A64" t="s">
        <v>46</v>
      </c>
      <c r="B64" t="s">
        <v>29</v>
      </c>
      <c r="C64" t="s">
        <v>21</v>
      </c>
      <c r="D64" t="s">
        <v>31</v>
      </c>
      <c r="E64" t="s">
        <v>27</v>
      </c>
      <c r="F64">
        <v>7864</v>
      </c>
      <c r="G64">
        <v>4876</v>
      </c>
      <c r="H64">
        <v>6.23</v>
      </c>
      <c r="I64">
        <v>1.01</v>
      </c>
      <c r="J64">
        <v>5.22</v>
      </c>
      <c r="K64" t="str">
        <f t="shared" si="0"/>
        <v>VALID</v>
      </c>
    </row>
    <row r="65" spans="1:11" x14ac:dyDescent="0.3">
      <c r="A65" t="s">
        <v>46</v>
      </c>
      <c r="B65" t="s">
        <v>29</v>
      </c>
      <c r="C65" t="s">
        <v>21</v>
      </c>
      <c r="D65" t="s">
        <v>31</v>
      </c>
      <c r="E65" t="s">
        <v>27</v>
      </c>
      <c r="F65">
        <v>7864</v>
      </c>
      <c r="G65">
        <v>4876</v>
      </c>
      <c r="H65">
        <v>6.23</v>
      </c>
      <c r="I65">
        <v>1.01</v>
      </c>
      <c r="J65">
        <v>5.22</v>
      </c>
      <c r="K65" t="str">
        <f t="shared" si="0"/>
        <v>VALID</v>
      </c>
    </row>
    <row r="66" spans="1:11" x14ac:dyDescent="0.3">
      <c r="A66" t="s">
        <v>70</v>
      </c>
      <c r="B66" t="s">
        <v>34</v>
      </c>
      <c r="C66" t="s">
        <v>25</v>
      </c>
      <c r="D66" t="s">
        <v>26</v>
      </c>
      <c r="E66" t="s">
        <v>27</v>
      </c>
      <c r="F66">
        <v>4108</v>
      </c>
      <c r="G66">
        <v>4099</v>
      </c>
      <c r="H66">
        <v>9.24</v>
      </c>
      <c r="I66">
        <v>1.82</v>
      </c>
      <c r="J66">
        <v>7.42</v>
      </c>
      <c r="K66" t="str">
        <f t="shared" ref="K66:K129" si="1">IF(ISNUMBER(DATEVALUE(A66)),"VALID","INVALID")</f>
        <v>VALID</v>
      </c>
    </row>
    <row r="67" spans="1:11" x14ac:dyDescent="0.3">
      <c r="A67" t="s">
        <v>70</v>
      </c>
      <c r="B67" t="s">
        <v>34</v>
      </c>
      <c r="C67" t="s">
        <v>25</v>
      </c>
      <c r="D67" t="s">
        <v>26</v>
      </c>
      <c r="E67" t="s">
        <v>27</v>
      </c>
      <c r="F67">
        <v>4108</v>
      </c>
      <c r="G67">
        <v>4099</v>
      </c>
      <c r="H67">
        <v>9.24</v>
      </c>
      <c r="I67">
        <v>1.82</v>
      </c>
      <c r="J67">
        <v>7.42</v>
      </c>
      <c r="K67" t="str">
        <f t="shared" si="1"/>
        <v>VALID</v>
      </c>
    </row>
    <row r="68" spans="1:11" x14ac:dyDescent="0.3">
      <c r="A68" t="s">
        <v>70</v>
      </c>
      <c r="B68" t="s">
        <v>34</v>
      </c>
      <c r="C68" t="s">
        <v>25</v>
      </c>
      <c r="D68" t="s">
        <v>26</v>
      </c>
      <c r="E68" t="s">
        <v>27</v>
      </c>
      <c r="F68">
        <v>4108</v>
      </c>
      <c r="G68">
        <v>4099</v>
      </c>
      <c r="H68">
        <v>9.24</v>
      </c>
      <c r="I68">
        <v>1.82</v>
      </c>
      <c r="J68">
        <v>7.42</v>
      </c>
      <c r="K68" t="str">
        <f t="shared" si="1"/>
        <v>VALID</v>
      </c>
    </row>
    <row r="69" spans="1:11" x14ac:dyDescent="0.3">
      <c r="A69" t="s">
        <v>70</v>
      </c>
      <c r="B69" t="s">
        <v>34</v>
      </c>
      <c r="C69" t="s">
        <v>25</v>
      </c>
      <c r="D69" t="s">
        <v>26</v>
      </c>
      <c r="E69" t="s">
        <v>27</v>
      </c>
      <c r="F69">
        <v>4108</v>
      </c>
      <c r="G69">
        <v>4099</v>
      </c>
      <c r="H69">
        <v>9.24</v>
      </c>
      <c r="I69">
        <v>1.82</v>
      </c>
      <c r="J69">
        <v>7.42</v>
      </c>
      <c r="K69" t="str">
        <f t="shared" si="1"/>
        <v>VALID</v>
      </c>
    </row>
    <row r="70" spans="1:11" x14ac:dyDescent="0.3">
      <c r="A70" t="s">
        <v>57</v>
      </c>
      <c r="B70" t="s">
        <v>29</v>
      </c>
      <c r="C70" t="s">
        <v>25</v>
      </c>
      <c r="D70" t="s">
        <v>22</v>
      </c>
      <c r="E70" t="s">
        <v>23</v>
      </c>
      <c r="F70">
        <v>503</v>
      </c>
      <c r="G70">
        <v>3033</v>
      </c>
      <c r="H70">
        <v>7.33</v>
      </c>
      <c r="I70">
        <v>0.73</v>
      </c>
      <c r="J70">
        <v>6.6</v>
      </c>
      <c r="K70" t="str">
        <f t="shared" si="1"/>
        <v>VALID</v>
      </c>
    </row>
    <row r="71" spans="1:11" x14ac:dyDescent="0.3">
      <c r="A71" t="s">
        <v>57</v>
      </c>
      <c r="B71" t="s">
        <v>29</v>
      </c>
      <c r="D71" t="s">
        <v>22</v>
      </c>
      <c r="E71" t="s">
        <v>23</v>
      </c>
      <c r="F71">
        <v>503</v>
      </c>
      <c r="G71">
        <v>3033</v>
      </c>
      <c r="H71">
        <v>7.33</v>
      </c>
      <c r="I71">
        <v>0.73</v>
      </c>
      <c r="J71">
        <v>6.6</v>
      </c>
      <c r="K71" t="str">
        <f t="shared" si="1"/>
        <v>VALID</v>
      </c>
    </row>
    <row r="72" spans="1:11" x14ac:dyDescent="0.3">
      <c r="A72" t="s">
        <v>57</v>
      </c>
      <c r="B72" t="s">
        <v>29</v>
      </c>
      <c r="C72" t="s">
        <v>25</v>
      </c>
      <c r="D72" t="s">
        <v>22</v>
      </c>
      <c r="E72" t="s">
        <v>23</v>
      </c>
      <c r="F72">
        <v>503</v>
      </c>
      <c r="G72">
        <v>3033</v>
      </c>
      <c r="H72">
        <v>7.33</v>
      </c>
      <c r="I72">
        <v>0.73</v>
      </c>
      <c r="J72">
        <v>6.6</v>
      </c>
      <c r="K72" t="str">
        <f t="shared" si="1"/>
        <v>VALID</v>
      </c>
    </row>
    <row r="73" spans="1:11" x14ac:dyDescent="0.3">
      <c r="A73" t="s">
        <v>57</v>
      </c>
      <c r="B73" t="s">
        <v>29</v>
      </c>
      <c r="C73" t="s">
        <v>21</v>
      </c>
      <c r="D73" t="s">
        <v>31</v>
      </c>
      <c r="E73" t="s">
        <v>27</v>
      </c>
      <c r="F73">
        <v>8658</v>
      </c>
      <c r="G73">
        <v>999</v>
      </c>
      <c r="H73">
        <v>8.5399999999999991</v>
      </c>
      <c r="I73">
        <v>1.89</v>
      </c>
      <c r="J73">
        <v>6.65</v>
      </c>
      <c r="K73" t="str">
        <f t="shared" si="1"/>
        <v>VALID</v>
      </c>
    </row>
    <row r="74" spans="1:11" x14ac:dyDescent="0.3">
      <c r="A74" t="s">
        <v>57</v>
      </c>
      <c r="B74" t="s">
        <v>29</v>
      </c>
      <c r="C74" t="s">
        <v>25</v>
      </c>
      <c r="D74" t="s">
        <v>22</v>
      </c>
      <c r="E74" t="s">
        <v>23</v>
      </c>
      <c r="F74">
        <v>503</v>
      </c>
      <c r="G74">
        <v>3033</v>
      </c>
      <c r="H74">
        <v>7.33</v>
      </c>
      <c r="I74">
        <v>0.73</v>
      </c>
      <c r="J74">
        <v>6.6</v>
      </c>
      <c r="K74" t="str">
        <f t="shared" si="1"/>
        <v>VALID</v>
      </c>
    </row>
    <row r="75" spans="1:11" x14ac:dyDescent="0.3">
      <c r="A75" t="s">
        <v>57</v>
      </c>
      <c r="B75" t="s">
        <v>29</v>
      </c>
      <c r="C75" t="s">
        <v>21</v>
      </c>
      <c r="D75" t="s">
        <v>31</v>
      </c>
      <c r="E75" t="s">
        <v>27</v>
      </c>
      <c r="F75">
        <v>8658</v>
      </c>
      <c r="G75">
        <v>999</v>
      </c>
      <c r="H75">
        <v>8.5399999999999991</v>
      </c>
      <c r="I75">
        <v>1.89</v>
      </c>
      <c r="J75">
        <v>6.65</v>
      </c>
      <c r="K75" t="str">
        <f t="shared" si="1"/>
        <v>VALID</v>
      </c>
    </row>
    <row r="76" spans="1:11" x14ac:dyDescent="0.3">
      <c r="A76" t="s">
        <v>80</v>
      </c>
      <c r="B76" t="s">
        <v>29</v>
      </c>
      <c r="C76" t="s">
        <v>30</v>
      </c>
      <c r="D76" t="s">
        <v>31</v>
      </c>
      <c r="E76" t="s">
        <v>27</v>
      </c>
      <c r="F76">
        <v>2292</v>
      </c>
      <c r="G76">
        <v>254</v>
      </c>
      <c r="H76">
        <v>5.83</v>
      </c>
      <c r="I76">
        <v>1.8</v>
      </c>
      <c r="J76">
        <v>4.03</v>
      </c>
      <c r="K76" t="str">
        <f t="shared" si="1"/>
        <v>VALID</v>
      </c>
    </row>
    <row r="77" spans="1:11" x14ac:dyDescent="0.3">
      <c r="A77" t="s">
        <v>80</v>
      </c>
      <c r="B77" t="s">
        <v>20</v>
      </c>
      <c r="C77" t="s">
        <v>25</v>
      </c>
      <c r="D77" t="s">
        <v>26</v>
      </c>
      <c r="E77" t="s">
        <v>27</v>
      </c>
      <c r="F77">
        <v>6094</v>
      </c>
      <c r="G77">
        <v>6929</v>
      </c>
      <c r="H77">
        <v>5.72</v>
      </c>
      <c r="I77">
        <v>0.89</v>
      </c>
      <c r="J77">
        <v>4.83</v>
      </c>
      <c r="K77" t="str">
        <f t="shared" si="1"/>
        <v>VALID</v>
      </c>
    </row>
    <row r="78" spans="1:11" x14ac:dyDescent="0.3">
      <c r="A78" t="s">
        <v>81</v>
      </c>
      <c r="B78" t="s">
        <v>20</v>
      </c>
      <c r="C78" t="s">
        <v>21</v>
      </c>
      <c r="D78" t="s">
        <v>22</v>
      </c>
      <c r="E78" t="s">
        <v>23</v>
      </c>
      <c r="F78">
        <v>4201</v>
      </c>
      <c r="G78">
        <v>5551</v>
      </c>
      <c r="H78">
        <v>8.7799999999999994</v>
      </c>
      <c r="I78">
        <v>0.88</v>
      </c>
      <c r="J78">
        <v>7.9</v>
      </c>
      <c r="K78" t="str">
        <f t="shared" si="1"/>
        <v>VALID</v>
      </c>
    </row>
    <row r="79" spans="1:11" x14ac:dyDescent="0.3">
      <c r="A79" t="s">
        <v>81</v>
      </c>
      <c r="B79" t="s">
        <v>20</v>
      </c>
      <c r="C79" t="s">
        <v>21</v>
      </c>
      <c r="D79" t="s">
        <v>22</v>
      </c>
      <c r="E79" t="s">
        <v>23</v>
      </c>
      <c r="F79">
        <v>3700</v>
      </c>
      <c r="G79">
        <v>1372</v>
      </c>
      <c r="H79">
        <v>5.3</v>
      </c>
      <c r="I79">
        <v>0.91</v>
      </c>
      <c r="J79">
        <v>4.3899999999999997</v>
      </c>
      <c r="K79" t="str">
        <f t="shared" si="1"/>
        <v>VALID</v>
      </c>
    </row>
    <row r="80" spans="1:11" x14ac:dyDescent="0.3">
      <c r="A80" t="s">
        <v>81</v>
      </c>
      <c r="B80" t="s">
        <v>20</v>
      </c>
      <c r="C80" t="s">
        <v>21</v>
      </c>
      <c r="D80" t="s">
        <v>22</v>
      </c>
      <c r="E80" t="s">
        <v>23</v>
      </c>
      <c r="F80">
        <v>3700</v>
      </c>
      <c r="G80">
        <v>1372</v>
      </c>
      <c r="H80">
        <v>5.3</v>
      </c>
      <c r="I80">
        <v>0.91</v>
      </c>
      <c r="J80">
        <v>4.3899999999999997</v>
      </c>
      <c r="K80" t="str">
        <f t="shared" si="1"/>
        <v>VALID</v>
      </c>
    </row>
    <row r="81" spans="1:11" x14ac:dyDescent="0.3">
      <c r="A81" t="s">
        <v>81</v>
      </c>
      <c r="B81" t="s">
        <v>34</v>
      </c>
      <c r="C81" t="s">
        <v>25</v>
      </c>
      <c r="D81" t="s">
        <v>26</v>
      </c>
      <c r="E81" t="s">
        <v>27</v>
      </c>
      <c r="F81">
        <v>2340</v>
      </c>
      <c r="G81">
        <v>5815</v>
      </c>
      <c r="H81">
        <v>4</v>
      </c>
      <c r="I81">
        <v>0.9</v>
      </c>
      <c r="J81">
        <v>3.1</v>
      </c>
      <c r="K81" t="str">
        <f t="shared" si="1"/>
        <v>VALID</v>
      </c>
    </row>
    <row r="82" spans="1:11" x14ac:dyDescent="0.3">
      <c r="A82" t="s">
        <v>81</v>
      </c>
      <c r="B82" t="s">
        <v>20</v>
      </c>
      <c r="C82" t="s">
        <v>21</v>
      </c>
      <c r="D82" t="s">
        <v>22</v>
      </c>
      <c r="E82" t="s">
        <v>23</v>
      </c>
      <c r="F82">
        <v>4201</v>
      </c>
      <c r="G82">
        <v>5551</v>
      </c>
      <c r="H82">
        <v>8.7799999999999994</v>
      </c>
      <c r="I82">
        <v>0.88</v>
      </c>
      <c r="J82">
        <v>7.9</v>
      </c>
      <c r="K82" t="str">
        <f t="shared" si="1"/>
        <v>VALID</v>
      </c>
    </row>
    <row r="83" spans="1:11" x14ac:dyDescent="0.3">
      <c r="A83" t="s">
        <v>95</v>
      </c>
      <c r="B83" t="s">
        <v>29</v>
      </c>
      <c r="C83" t="s">
        <v>25</v>
      </c>
      <c r="D83" t="s">
        <v>26</v>
      </c>
      <c r="E83" t="s">
        <v>23</v>
      </c>
      <c r="F83">
        <v>2608</v>
      </c>
      <c r="G83">
        <v>5513</v>
      </c>
      <c r="H83">
        <v>5.5</v>
      </c>
      <c r="I83">
        <v>0.89</v>
      </c>
      <c r="J83">
        <v>4.6100000000000003</v>
      </c>
      <c r="K83" t="str">
        <f t="shared" si="1"/>
        <v>VALID</v>
      </c>
    </row>
    <row r="84" spans="1:11" x14ac:dyDescent="0.3">
      <c r="A84" t="s">
        <v>53</v>
      </c>
      <c r="B84" t="s">
        <v>20</v>
      </c>
      <c r="C84" t="s">
        <v>21</v>
      </c>
      <c r="D84" t="s">
        <v>26</v>
      </c>
      <c r="E84" t="s">
        <v>27</v>
      </c>
      <c r="F84">
        <v>5614</v>
      </c>
      <c r="G84">
        <v>5347</v>
      </c>
      <c r="H84">
        <v>7.83</v>
      </c>
      <c r="I84">
        <v>1.99</v>
      </c>
      <c r="J84">
        <v>5.84</v>
      </c>
      <c r="K84" t="str">
        <f t="shared" si="1"/>
        <v>VALID</v>
      </c>
    </row>
    <row r="85" spans="1:11" x14ac:dyDescent="0.3">
      <c r="A85" t="s">
        <v>53</v>
      </c>
      <c r="B85" t="s">
        <v>20</v>
      </c>
      <c r="C85" t="s">
        <v>21</v>
      </c>
      <c r="D85" t="s">
        <v>26</v>
      </c>
      <c r="E85" t="s">
        <v>27</v>
      </c>
      <c r="F85">
        <v>5614</v>
      </c>
      <c r="G85">
        <v>5347</v>
      </c>
      <c r="H85">
        <v>7.83</v>
      </c>
      <c r="I85">
        <v>1.99</v>
      </c>
      <c r="J85">
        <v>5.84</v>
      </c>
      <c r="K85" t="str">
        <f t="shared" si="1"/>
        <v>VALID</v>
      </c>
    </row>
    <row r="86" spans="1:11" x14ac:dyDescent="0.3">
      <c r="A86" t="s">
        <v>40</v>
      </c>
      <c r="B86" t="s">
        <v>20</v>
      </c>
      <c r="C86" t="s">
        <v>30</v>
      </c>
      <c r="D86" t="s">
        <v>22</v>
      </c>
      <c r="E86" t="s">
        <v>27</v>
      </c>
      <c r="F86">
        <v>6057</v>
      </c>
      <c r="G86">
        <v>1189</v>
      </c>
      <c r="H86">
        <v>5.46</v>
      </c>
      <c r="I86">
        <v>0.62</v>
      </c>
      <c r="J86">
        <v>4.84</v>
      </c>
      <c r="K86" t="str">
        <f t="shared" si="1"/>
        <v>VALID</v>
      </c>
    </row>
    <row r="87" spans="1:11" x14ac:dyDescent="0.3">
      <c r="A87" t="s">
        <v>40</v>
      </c>
      <c r="B87" t="s">
        <v>20</v>
      </c>
      <c r="C87" t="s">
        <v>25</v>
      </c>
      <c r="D87" t="s">
        <v>22</v>
      </c>
      <c r="E87" t="s">
        <v>23</v>
      </c>
      <c r="F87">
        <v>996</v>
      </c>
      <c r="G87">
        <v>3003</v>
      </c>
      <c r="H87">
        <v>6.17</v>
      </c>
      <c r="I87">
        <v>0.08</v>
      </c>
      <c r="J87">
        <v>6.09</v>
      </c>
      <c r="K87" t="str">
        <f t="shared" si="1"/>
        <v>VALID</v>
      </c>
    </row>
    <row r="88" spans="1:11" x14ac:dyDescent="0.3">
      <c r="A88" t="s">
        <v>40</v>
      </c>
      <c r="B88" t="s">
        <v>20</v>
      </c>
      <c r="C88" t="s">
        <v>30</v>
      </c>
      <c r="D88" t="s">
        <v>22</v>
      </c>
      <c r="E88" t="s">
        <v>27</v>
      </c>
      <c r="F88">
        <v>6057</v>
      </c>
      <c r="G88">
        <v>1189</v>
      </c>
      <c r="H88">
        <v>5.46</v>
      </c>
      <c r="I88">
        <v>0.62</v>
      </c>
      <c r="J88">
        <v>4.84</v>
      </c>
      <c r="K88" t="str">
        <f t="shared" si="1"/>
        <v>VALID</v>
      </c>
    </row>
    <row r="89" spans="1:11" x14ac:dyDescent="0.3">
      <c r="A89" t="s">
        <v>40</v>
      </c>
      <c r="B89" t="s">
        <v>20</v>
      </c>
      <c r="C89" t="s">
        <v>30</v>
      </c>
      <c r="D89" t="s">
        <v>31</v>
      </c>
      <c r="E89" t="s">
        <v>27</v>
      </c>
      <c r="F89">
        <v>2855</v>
      </c>
      <c r="G89">
        <v>4934</v>
      </c>
      <c r="H89">
        <v>6.41</v>
      </c>
      <c r="I89">
        <v>0.85</v>
      </c>
      <c r="J89">
        <v>5.56</v>
      </c>
      <c r="K89" t="str">
        <f t="shared" si="1"/>
        <v>VALID</v>
      </c>
    </row>
    <row r="90" spans="1:11" x14ac:dyDescent="0.3">
      <c r="A90" t="s">
        <v>40</v>
      </c>
      <c r="B90" t="s">
        <v>20</v>
      </c>
      <c r="C90" t="s">
        <v>30</v>
      </c>
      <c r="D90" t="s">
        <v>22</v>
      </c>
      <c r="E90" t="s">
        <v>27</v>
      </c>
      <c r="F90">
        <v>6057</v>
      </c>
      <c r="G90">
        <v>1189</v>
      </c>
      <c r="H90">
        <v>5.46</v>
      </c>
      <c r="I90">
        <v>0.62</v>
      </c>
      <c r="J90">
        <v>4.84</v>
      </c>
      <c r="K90" t="str">
        <f t="shared" si="1"/>
        <v>VALID</v>
      </c>
    </row>
    <row r="91" spans="1:11" x14ac:dyDescent="0.3">
      <c r="A91" t="s">
        <v>40</v>
      </c>
      <c r="B91" t="s">
        <v>20</v>
      </c>
      <c r="C91" t="s">
        <v>30</v>
      </c>
      <c r="D91" t="s">
        <v>22</v>
      </c>
      <c r="E91" t="s">
        <v>27</v>
      </c>
      <c r="F91">
        <v>6057</v>
      </c>
      <c r="G91">
        <v>1189</v>
      </c>
      <c r="H91">
        <v>5.46</v>
      </c>
      <c r="I91">
        <v>0.62</v>
      </c>
      <c r="J91">
        <v>4.84</v>
      </c>
      <c r="K91" t="str">
        <f t="shared" si="1"/>
        <v>VALID</v>
      </c>
    </row>
    <row r="92" spans="1:11" x14ac:dyDescent="0.3">
      <c r="A92" t="s">
        <v>40</v>
      </c>
      <c r="B92" t="s">
        <v>20</v>
      </c>
      <c r="C92" t="s">
        <v>25</v>
      </c>
      <c r="D92" t="s">
        <v>22</v>
      </c>
      <c r="E92" t="s">
        <v>32</v>
      </c>
      <c r="F92">
        <v>996</v>
      </c>
      <c r="G92">
        <v>3003</v>
      </c>
      <c r="H92">
        <v>6.17</v>
      </c>
      <c r="I92">
        <v>0.08</v>
      </c>
      <c r="J92">
        <v>6.09</v>
      </c>
      <c r="K92" t="str">
        <f t="shared" si="1"/>
        <v>VALID</v>
      </c>
    </row>
    <row r="93" spans="1:11" x14ac:dyDescent="0.3">
      <c r="A93" t="s">
        <v>72</v>
      </c>
      <c r="B93" t="s">
        <v>34</v>
      </c>
      <c r="C93" t="s">
        <v>25</v>
      </c>
      <c r="E93" t="s">
        <v>27</v>
      </c>
      <c r="F93">
        <v>6106</v>
      </c>
      <c r="G93">
        <v>4221</v>
      </c>
      <c r="H93">
        <v>8.32</v>
      </c>
      <c r="I93">
        <v>1.94</v>
      </c>
      <c r="J93">
        <v>6.38</v>
      </c>
      <c r="K93" t="str">
        <f t="shared" si="1"/>
        <v>VALID</v>
      </c>
    </row>
    <row r="94" spans="1:11" x14ac:dyDescent="0.3">
      <c r="A94" t="s">
        <v>72</v>
      </c>
      <c r="B94" t="s">
        <v>20</v>
      </c>
      <c r="C94" t="s">
        <v>30</v>
      </c>
      <c r="D94" t="s">
        <v>22</v>
      </c>
      <c r="E94" t="s">
        <v>23</v>
      </c>
      <c r="F94">
        <v>6073</v>
      </c>
      <c r="G94">
        <v>3081</v>
      </c>
      <c r="H94">
        <v>4.07</v>
      </c>
      <c r="I94">
        <v>1.22</v>
      </c>
      <c r="J94">
        <v>2.85</v>
      </c>
      <c r="K94" t="str">
        <f t="shared" si="1"/>
        <v>VALID</v>
      </c>
    </row>
    <row r="95" spans="1:11" x14ac:dyDescent="0.3">
      <c r="A95" t="s">
        <v>72</v>
      </c>
      <c r="B95" t="s">
        <v>34</v>
      </c>
      <c r="C95" t="s">
        <v>25</v>
      </c>
      <c r="D95" t="s">
        <v>22</v>
      </c>
      <c r="E95" t="s">
        <v>27</v>
      </c>
      <c r="F95">
        <v>6106</v>
      </c>
      <c r="G95">
        <v>4221</v>
      </c>
      <c r="H95">
        <v>8.32</v>
      </c>
      <c r="I95">
        <v>1.94</v>
      </c>
      <c r="J95">
        <v>6.38</v>
      </c>
      <c r="K95" t="str">
        <f t="shared" si="1"/>
        <v>VALID</v>
      </c>
    </row>
    <row r="96" spans="1:11" x14ac:dyDescent="0.3">
      <c r="A96" t="s">
        <v>78</v>
      </c>
      <c r="B96" t="s">
        <v>34</v>
      </c>
      <c r="C96" t="s">
        <v>30</v>
      </c>
      <c r="D96" t="s">
        <v>22</v>
      </c>
      <c r="E96" t="s">
        <v>27</v>
      </c>
      <c r="F96">
        <v>7956</v>
      </c>
      <c r="G96">
        <v>1862</v>
      </c>
      <c r="H96">
        <v>9.42</v>
      </c>
      <c r="I96">
        <v>0.59</v>
      </c>
      <c r="J96">
        <v>8.83</v>
      </c>
      <c r="K96" t="str">
        <f t="shared" si="1"/>
        <v>VALID</v>
      </c>
    </row>
    <row r="97" spans="1:11" x14ac:dyDescent="0.3">
      <c r="A97" t="s">
        <v>78</v>
      </c>
      <c r="B97" t="s">
        <v>34</v>
      </c>
      <c r="C97" t="s">
        <v>30</v>
      </c>
      <c r="D97" t="s">
        <v>22</v>
      </c>
      <c r="E97" t="s">
        <v>27</v>
      </c>
      <c r="F97">
        <v>7956</v>
      </c>
      <c r="G97">
        <v>1862</v>
      </c>
      <c r="H97">
        <v>9.42</v>
      </c>
      <c r="I97">
        <v>0.59</v>
      </c>
      <c r="J97">
        <v>8.83</v>
      </c>
      <c r="K97" t="str">
        <f t="shared" si="1"/>
        <v>VALID</v>
      </c>
    </row>
    <row r="98" spans="1:11" x14ac:dyDescent="0.3">
      <c r="A98" t="s">
        <v>78</v>
      </c>
      <c r="B98" t="s">
        <v>34</v>
      </c>
      <c r="C98" t="s">
        <v>30</v>
      </c>
      <c r="D98" t="s">
        <v>31</v>
      </c>
      <c r="E98" t="s">
        <v>23</v>
      </c>
      <c r="F98">
        <v>4811</v>
      </c>
      <c r="G98">
        <v>6781</v>
      </c>
      <c r="H98">
        <v>4.1100000000000003</v>
      </c>
      <c r="I98">
        <v>0.7</v>
      </c>
      <c r="J98">
        <v>3.41</v>
      </c>
      <c r="K98" t="str">
        <f t="shared" si="1"/>
        <v>VALID</v>
      </c>
    </row>
    <row r="99" spans="1:11" x14ac:dyDescent="0.3">
      <c r="A99" t="s">
        <v>78</v>
      </c>
      <c r="B99" t="s">
        <v>34</v>
      </c>
      <c r="C99" t="s">
        <v>30</v>
      </c>
      <c r="D99" t="s">
        <v>31</v>
      </c>
      <c r="E99" t="s">
        <v>32</v>
      </c>
      <c r="F99">
        <v>4811</v>
      </c>
      <c r="G99">
        <v>6781</v>
      </c>
      <c r="H99">
        <v>4.1100000000000003</v>
      </c>
      <c r="I99">
        <v>0.7</v>
      </c>
      <c r="J99">
        <v>3.41</v>
      </c>
      <c r="K99" t="str">
        <f t="shared" si="1"/>
        <v>VALID</v>
      </c>
    </row>
    <row r="100" spans="1:11" x14ac:dyDescent="0.3">
      <c r="A100" t="s">
        <v>78</v>
      </c>
      <c r="B100" t="s">
        <v>34</v>
      </c>
      <c r="C100" t="s">
        <v>30</v>
      </c>
      <c r="D100" t="s">
        <v>31</v>
      </c>
      <c r="E100" t="s">
        <v>23</v>
      </c>
      <c r="F100">
        <v>4811</v>
      </c>
      <c r="G100">
        <v>6781</v>
      </c>
      <c r="H100">
        <v>4.1100000000000003</v>
      </c>
      <c r="I100">
        <v>0.7</v>
      </c>
      <c r="J100">
        <v>3.41</v>
      </c>
      <c r="K100" t="str">
        <f t="shared" si="1"/>
        <v>VALID</v>
      </c>
    </row>
    <row r="101" spans="1:11" x14ac:dyDescent="0.3">
      <c r="A101" t="s">
        <v>78</v>
      </c>
      <c r="B101" t="s">
        <v>34</v>
      </c>
      <c r="C101" t="s">
        <v>25</v>
      </c>
      <c r="D101" t="s">
        <v>22</v>
      </c>
      <c r="E101" t="s">
        <v>23</v>
      </c>
      <c r="F101">
        <v>7640</v>
      </c>
      <c r="G101">
        <v>2928</v>
      </c>
      <c r="H101">
        <v>7.8</v>
      </c>
      <c r="I101">
        <v>0.93</v>
      </c>
      <c r="J101">
        <v>6.87</v>
      </c>
      <c r="K101" t="str">
        <f t="shared" si="1"/>
        <v>VALID</v>
      </c>
    </row>
    <row r="102" spans="1:11" x14ac:dyDescent="0.3">
      <c r="A102" t="s">
        <v>78</v>
      </c>
      <c r="B102" t="s">
        <v>34</v>
      </c>
      <c r="C102" t="s">
        <v>25</v>
      </c>
      <c r="D102" t="s">
        <v>22</v>
      </c>
      <c r="E102" t="s">
        <v>23</v>
      </c>
      <c r="F102">
        <v>7640</v>
      </c>
      <c r="G102">
        <v>2928</v>
      </c>
      <c r="H102">
        <v>7.8</v>
      </c>
      <c r="I102">
        <v>0.93</v>
      </c>
      <c r="J102">
        <v>6.87</v>
      </c>
      <c r="K102" t="str">
        <f t="shared" si="1"/>
        <v>VALID</v>
      </c>
    </row>
    <row r="103" spans="1:11" x14ac:dyDescent="0.3">
      <c r="A103" t="s">
        <v>84</v>
      </c>
      <c r="B103" t="s">
        <v>29</v>
      </c>
      <c r="C103" t="s">
        <v>25</v>
      </c>
      <c r="D103" t="s">
        <v>26</v>
      </c>
      <c r="E103" t="s">
        <v>23</v>
      </c>
      <c r="F103">
        <v>8898</v>
      </c>
      <c r="G103">
        <v>6758</v>
      </c>
      <c r="H103">
        <v>4.04</v>
      </c>
      <c r="I103">
        <v>1.89</v>
      </c>
      <c r="J103">
        <v>2.15</v>
      </c>
      <c r="K103" t="str">
        <f t="shared" si="1"/>
        <v>VALID</v>
      </c>
    </row>
    <row r="104" spans="1:11" x14ac:dyDescent="0.3">
      <c r="A104" t="s">
        <v>84</v>
      </c>
      <c r="B104" t="s">
        <v>29</v>
      </c>
      <c r="C104" t="s">
        <v>25</v>
      </c>
      <c r="D104" t="s">
        <v>26</v>
      </c>
      <c r="E104" t="s">
        <v>23</v>
      </c>
      <c r="F104">
        <v>3761</v>
      </c>
      <c r="G104">
        <v>658</v>
      </c>
      <c r="H104">
        <v>9.94</v>
      </c>
      <c r="I104">
        <v>1.99</v>
      </c>
      <c r="J104">
        <v>7.95</v>
      </c>
      <c r="K104" t="str">
        <f t="shared" si="1"/>
        <v>VALID</v>
      </c>
    </row>
    <row r="105" spans="1:11" x14ac:dyDescent="0.3">
      <c r="A105" t="s">
        <v>84</v>
      </c>
      <c r="B105" t="s">
        <v>29</v>
      </c>
      <c r="C105" t="s">
        <v>25</v>
      </c>
      <c r="D105" t="s">
        <v>26</v>
      </c>
      <c r="E105" t="s">
        <v>32</v>
      </c>
      <c r="F105">
        <v>3761</v>
      </c>
      <c r="G105">
        <v>658</v>
      </c>
      <c r="H105">
        <v>9.94</v>
      </c>
      <c r="I105">
        <v>1.99</v>
      </c>
      <c r="J105">
        <v>7.95</v>
      </c>
      <c r="K105" t="str">
        <f t="shared" si="1"/>
        <v>VALID</v>
      </c>
    </row>
    <row r="106" spans="1:11" x14ac:dyDescent="0.3">
      <c r="A106" t="s">
        <v>49</v>
      </c>
      <c r="B106" t="s">
        <v>29</v>
      </c>
      <c r="C106" t="s">
        <v>25</v>
      </c>
      <c r="D106" t="s">
        <v>26</v>
      </c>
      <c r="E106" t="s">
        <v>23</v>
      </c>
      <c r="F106">
        <v>8058</v>
      </c>
      <c r="G106">
        <v>566</v>
      </c>
      <c r="H106">
        <v>4.13</v>
      </c>
      <c r="I106">
        <v>1.05</v>
      </c>
      <c r="J106">
        <v>3.08</v>
      </c>
      <c r="K106" t="str">
        <f t="shared" si="1"/>
        <v>VALID</v>
      </c>
    </row>
    <row r="107" spans="1:11" x14ac:dyDescent="0.3">
      <c r="A107" t="s">
        <v>49</v>
      </c>
      <c r="B107" t="s">
        <v>29</v>
      </c>
      <c r="C107" t="s">
        <v>25</v>
      </c>
      <c r="D107" t="s">
        <v>26</v>
      </c>
      <c r="E107" t="s">
        <v>23</v>
      </c>
      <c r="F107">
        <v>8058</v>
      </c>
      <c r="G107">
        <v>566</v>
      </c>
      <c r="H107">
        <v>4.13</v>
      </c>
      <c r="I107">
        <v>1.05</v>
      </c>
      <c r="J107">
        <v>3.08</v>
      </c>
      <c r="K107" t="str">
        <f t="shared" si="1"/>
        <v>VALID</v>
      </c>
    </row>
    <row r="108" spans="1:11" x14ac:dyDescent="0.3">
      <c r="A108" t="s">
        <v>49</v>
      </c>
      <c r="B108" t="s">
        <v>29</v>
      </c>
      <c r="C108" t="s">
        <v>25</v>
      </c>
      <c r="D108" t="s">
        <v>26</v>
      </c>
      <c r="E108" t="s">
        <v>23</v>
      </c>
      <c r="F108">
        <v>8058</v>
      </c>
      <c r="G108">
        <v>566</v>
      </c>
      <c r="H108">
        <v>4.13</v>
      </c>
      <c r="I108">
        <v>1.05</v>
      </c>
      <c r="J108">
        <v>3.08</v>
      </c>
      <c r="K108" t="str">
        <f t="shared" si="1"/>
        <v>VALID</v>
      </c>
    </row>
    <row r="109" spans="1:11" x14ac:dyDescent="0.3">
      <c r="A109" t="s">
        <v>93</v>
      </c>
      <c r="B109" t="s">
        <v>34</v>
      </c>
      <c r="C109" t="s">
        <v>25</v>
      </c>
      <c r="D109" t="s">
        <v>26</v>
      </c>
      <c r="E109" t="s">
        <v>23</v>
      </c>
      <c r="F109">
        <v>7822</v>
      </c>
      <c r="G109">
        <v>5097</v>
      </c>
      <c r="H109">
        <v>4.3600000000000003</v>
      </c>
      <c r="I109">
        <v>0.59</v>
      </c>
      <c r="J109">
        <v>3.77</v>
      </c>
      <c r="K109" t="str">
        <f t="shared" si="1"/>
        <v>VALID</v>
      </c>
    </row>
    <row r="110" spans="1:11" x14ac:dyDescent="0.3">
      <c r="A110" t="s">
        <v>93</v>
      </c>
      <c r="B110" t="s">
        <v>34</v>
      </c>
      <c r="C110" t="s">
        <v>25</v>
      </c>
      <c r="D110" t="s">
        <v>26</v>
      </c>
      <c r="E110" t="s">
        <v>23</v>
      </c>
      <c r="F110">
        <v>7822</v>
      </c>
      <c r="G110">
        <v>5097</v>
      </c>
      <c r="H110">
        <v>4.3600000000000003</v>
      </c>
      <c r="I110">
        <v>0.59</v>
      </c>
      <c r="J110">
        <v>3.77</v>
      </c>
      <c r="K110" t="str">
        <f t="shared" si="1"/>
        <v>VALID</v>
      </c>
    </row>
    <row r="111" spans="1:11" x14ac:dyDescent="0.3">
      <c r="A111" t="s">
        <v>86</v>
      </c>
      <c r="B111" t="s">
        <v>29</v>
      </c>
      <c r="C111" t="s">
        <v>25</v>
      </c>
      <c r="D111" t="s">
        <v>22</v>
      </c>
      <c r="E111" t="s">
        <v>27</v>
      </c>
      <c r="F111">
        <v>8329</v>
      </c>
      <c r="G111">
        <v>2392</v>
      </c>
      <c r="H111">
        <v>4.1900000000000004</v>
      </c>
      <c r="I111">
        <v>1.1499999999999999</v>
      </c>
      <c r="J111">
        <v>3.04</v>
      </c>
      <c r="K111" t="str">
        <f t="shared" si="1"/>
        <v>VALID</v>
      </c>
    </row>
    <row r="112" spans="1:11" x14ac:dyDescent="0.3">
      <c r="A112" t="s">
        <v>58</v>
      </c>
      <c r="B112" t="s">
        <v>34</v>
      </c>
      <c r="C112" t="s">
        <v>21</v>
      </c>
      <c r="D112" t="s">
        <v>26</v>
      </c>
      <c r="E112" t="s">
        <v>23</v>
      </c>
      <c r="F112">
        <v>3030</v>
      </c>
      <c r="G112">
        <v>364</v>
      </c>
      <c r="H112">
        <v>9.1199999999999992</v>
      </c>
      <c r="I112">
        <v>1.56</v>
      </c>
      <c r="J112">
        <v>7.56</v>
      </c>
      <c r="K112" t="str">
        <f t="shared" si="1"/>
        <v>VALID</v>
      </c>
    </row>
    <row r="113" spans="1:11" x14ac:dyDescent="0.3">
      <c r="A113" t="s">
        <v>58</v>
      </c>
      <c r="B113" t="s">
        <v>29</v>
      </c>
      <c r="C113" t="s">
        <v>21</v>
      </c>
      <c r="D113" t="s">
        <v>26</v>
      </c>
      <c r="E113" t="s">
        <v>27</v>
      </c>
      <c r="F113">
        <v>1919</v>
      </c>
      <c r="G113">
        <v>4940</v>
      </c>
      <c r="H113">
        <v>8.64</v>
      </c>
      <c r="I113">
        <v>1.86</v>
      </c>
      <c r="J113">
        <v>6.78</v>
      </c>
      <c r="K113" t="str">
        <f t="shared" si="1"/>
        <v>VALID</v>
      </c>
    </row>
    <row r="114" spans="1:11" x14ac:dyDescent="0.3">
      <c r="A114" t="s">
        <v>58</v>
      </c>
      <c r="B114" t="s">
        <v>34</v>
      </c>
      <c r="C114" t="s">
        <v>30</v>
      </c>
      <c r="D114" t="s">
        <v>26</v>
      </c>
      <c r="E114" t="s">
        <v>23</v>
      </c>
      <c r="F114">
        <v>359</v>
      </c>
      <c r="G114">
        <v>1439</v>
      </c>
      <c r="H114">
        <v>6.72</v>
      </c>
      <c r="I114">
        <v>0.56000000000000005</v>
      </c>
      <c r="J114">
        <v>6.16</v>
      </c>
      <c r="K114" t="str">
        <f t="shared" si="1"/>
        <v>VALID</v>
      </c>
    </row>
    <row r="115" spans="1:11" x14ac:dyDescent="0.3">
      <c r="A115" t="s">
        <v>58</v>
      </c>
      <c r="B115" t="s">
        <v>29</v>
      </c>
      <c r="C115" t="s">
        <v>21</v>
      </c>
      <c r="D115" t="s">
        <v>26</v>
      </c>
      <c r="E115" t="s">
        <v>27</v>
      </c>
      <c r="F115">
        <v>1919</v>
      </c>
      <c r="G115">
        <v>4940</v>
      </c>
      <c r="H115">
        <v>8.64</v>
      </c>
      <c r="I115">
        <v>1.86</v>
      </c>
      <c r="J115">
        <v>6.78</v>
      </c>
      <c r="K115" t="str">
        <f t="shared" si="1"/>
        <v>VALID</v>
      </c>
    </row>
    <row r="116" spans="1:11" x14ac:dyDescent="0.3">
      <c r="A116" t="s">
        <v>58</v>
      </c>
      <c r="B116" t="s">
        <v>34</v>
      </c>
      <c r="C116" t="s">
        <v>30</v>
      </c>
      <c r="D116" t="s">
        <v>26</v>
      </c>
      <c r="E116" t="s">
        <v>23</v>
      </c>
      <c r="F116">
        <v>359</v>
      </c>
      <c r="G116">
        <v>1439</v>
      </c>
      <c r="H116">
        <v>6.72</v>
      </c>
      <c r="I116">
        <v>0.56000000000000005</v>
      </c>
      <c r="J116">
        <v>6.16</v>
      </c>
      <c r="K116" t="str">
        <f t="shared" si="1"/>
        <v>VALID</v>
      </c>
    </row>
    <row r="117" spans="1:11" x14ac:dyDescent="0.3">
      <c r="A117" t="s">
        <v>58</v>
      </c>
      <c r="B117" t="s">
        <v>34</v>
      </c>
      <c r="C117" t="s">
        <v>30</v>
      </c>
      <c r="D117" t="s">
        <v>26</v>
      </c>
      <c r="E117" t="s">
        <v>23</v>
      </c>
      <c r="F117">
        <v>359</v>
      </c>
      <c r="G117">
        <v>1439</v>
      </c>
      <c r="H117">
        <v>6.72</v>
      </c>
      <c r="I117">
        <v>0.56000000000000005</v>
      </c>
      <c r="J117">
        <v>6.16</v>
      </c>
      <c r="K117" t="str">
        <f t="shared" si="1"/>
        <v>VALID</v>
      </c>
    </row>
    <row r="118" spans="1:11" x14ac:dyDescent="0.3">
      <c r="A118" t="s">
        <v>58</v>
      </c>
      <c r="B118" t="s">
        <v>34</v>
      </c>
      <c r="C118" t="s">
        <v>21</v>
      </c>
      <c r="D118" t="s">
        <v>26</v>
      </c>
      <c r="E118" t="s">
        <v>23</v>
      </c>
      <c r="F118">
        <v>3030</v>
      </c>
      <c r="G118">
        <v>364</v>
      </c>
      <c r="H118">
        <v>9.1199999999999992</v>
      </c>
      <c r="I118">
        <v>1.56</v>
      </c>
      <c r="J118">
        <v>7.56</v>
      </c>
      <c r="K118" t="str">
        <f t="shared" si="1"/>
        <v>VALID</v>
      </c>
    </row>
    <row r="119" spans="1:11" x14ac:dyDescent="0.3">
      <c r="A119" t="s">
        <v>58</v>
      </c>
      <c r="B119" t="s">
        <v>29</v>
      </c>
      <c r="C119" t="s">
        <v>21</v>
      </c>
      <c r="D119" t="s">
        <v>26</v>
      </c>
      <c r="E119" t="s">
        <v>27</v>
      </c>
      <c r="F119">
        <v>1919</v>
      </c>
      <c r="G119">
        <v>4940</v>
      </c>
      <c r="H119">
        <v>8.64</v>
      </c>
      <c r="I119">
        <v>1.86</v>
      </c>
      <c r="J119">
        <v>6.78</v>
      </c>
      <c r="K119" t="str">
        <f t="shared" si="1"/>
        <v>VALID</v>
      </c>
    </row>
    <row r="120" spans="1:11" x14ac:dyDescent="0.3">
      <c r="A120" t="s">
        <v>58</v>
      </c>
      <c r="B120" t="s">
        <v>34</v>
      </c>
      <c r="C120" t="s">
        <v>30</v>
      </c>
      <c r="D120" t="s">
        <v>26</v>
      </c>
      <c r="E120" t="s">
        <v>23</v>
      </c>
      <c r="F120">
        <v>359</v>
      </c>
      <c r="G120">
        <v>1439</v>
      </c>
      <c r="H120">
        <v>6.72</v>
      </c>
      <c r="I120">
        <v>0.56000000000000005</v>
      </c>
      <c r="J120">
        <v>6.16</v>
      </c>
      <c r="K120" t="str">
        <f t="shared" si="1"/>
        <v>VALID</v>
      </c>
    </row>
    <row r="121" spans="1:11" x14ac:dyDescent="0.3">
      <c r="A121" t="s">
        <v>41</v>
      </c>
      <c r="B121" t="s">
        <v>20</v>
      </c>
      <c r="C121" t="s">
        <v>25</v>
      </c>
      <c r="D121" t="s">
        <v>22</v>
      </c>
      <c r="E121" t="s">
        <v>27</v>
      </c>
      <c r="F121">
        <v>370</v>
      </c>
      <c r="G121">
        <v>4190</v>
      </c>
      <c r="H121">
        <v>5.74</v>
      </c>
      <c r="I121">
        <v>1.6</v>
      </c>
      <c r="J121">
        <v>4.1399999999999997</v>
      </c>
      <c r="K121" t="str">
        <f t="shared" si="1"/>
        <v>VALID</v>
      </c>
    </row>
    <row r="122" spans="1:11" x14ac:dyDescent="0.3">
      <c r="A122" t="s">
        <v>41</v>
      </c>
      <c r="B122" t="s">
        <v>20</v>
      </c>
      <c r="C122" t="s">
        <v>25</v>
      </c>
      <c r="D122" t="s">
        <v>22</v>
      </c>
      <c r="E122" t="s">
        <v>27</v>
      </c>
      <c r="F122">
        <v>370</v>
      </c>
      <c r="G122">
        <v>4190</v>
      </c>
      <c r="H122">
        <v>5.74</v>
      </c>
      <c r="I122">
        <v>1.6</v>
      </c>
      <c r="J122">
        <v>4.1399999999999997</v>
      </c>
      <c r="K122" t="str">
        <f t="shared" si="1"/>
        <v>VALID</v>
      </c>
    </row>
    <row r="123" spans="1:11" x14ac:dyDescent="0.3">
      <c r="A123" t="s">
        <v>41</v>
      </c>
      <c r="B123" t="s">
        <v>29</v>
      </c>
      <c r="C123" t="s">
        <v>25</v>
      </c>
      <c r="D123" t="s">
        <v>31</v>
      </c>
      <c r="E123" t="s">
        <v>23</v>
      </c>
      <c r="F123">
        <v>502</v>
      </c>
      <c r="G123">
        <v>4102</v>
      </c>
      <c r="H123">
        <v>5.37</v>
      </c>
      <c r="I123">
        <v>0.34</v>
      </c>
      <c r="J123">
        <v>5.03</v>
      </c>
      <c r="K123" t="str">
        <f t="shared" si="1"/>
        <v>VALID</v>
      </c>
    </row>
    <row r="124" spans="1:11" x14ac:dyDescent="0.3">
      <c r="A124" t="s">
        <v>45</v>
      </c>
      <c r="B124" t="s">
        <v>34</v>
      </c>
      <c r="C124" t="s">
        <v>21</v>
      </c>
      <c r="D124" t="s">
        <v>26</v>
      </c>
      <c r="E124" t="s">
        <v>32</v>
      </c>
      <c r="F124">
        <v>5695</v>
      </c>
      <c r="G124">
        <v>2158</v>
      </c>
      <c r="H124">
        <v>9.1300000000000008</v>
      </c>
      <c r="I124">
        <v>0.94</v>
      </c>
      <c r="J124">
        <v>8.19</v>
      </c>
      <c r="K124" t="str">
        <f t="shared" si="1"/>
        <v>VALID</v>
      </c>
    </row>
    <row r="125" spans="1:11" x14ac:dyDescent="0.3">
      <c r="A125" t="s">
        <v>45</v>
      </c>
      <c r="B125" t="s">
        <v>34</v>
      </c>
      <c r="C125" t="s">
        <v>25</v>
      </c>
      <c r="D125" t="s">
        <v>22</v>
      </c>
      <c r="E125" t="s">
        <v>23</v>
      </c>
      <c r="F125">
        <v>173</v>
      </c>
      <c r="G125">
        <v>1404</v>
      </c>
      <c r="H125">
        <v>5.4</v>
      </c>
      <c r="I125">
        <v>1.41</v>
      </c>
      <c r="J125">
        <v>3.99</v>
      </c>
      <c r="K125" t="str">
        <f t="shared" si="1"/>
        <v>VALID</v>
      </c>
    </row>
    <row r="126" spans="1:11" x14ac:dyDescent="0.3">
      <c r="A126" t="s">
        <v>45</v>
      </c>
      <c r="B126" t="s">
        <v>34</v>
      </c>
      <c r="C126" t="s">
        <v>25</v>
      </c>
      <c r="D126" t="s">
        <v>22</v>
      </c>
      <c r="E126" t="s">
        <v>23</v>
      </c>
      <c r="F126">
        <v>173</v>
      </c>
      <c r="G126">
        <v>1404</v>
      </c>
      <c r="H126">
        <v>5.4</v>
      </c>
      <c r="I126">
        <v>1.41</v>
      </c>
      <c r="J126">
        <v>3.99</v>
      </c>
      <c r="K126" t="str">
        <f t="shared" si="1"/>
        <v>VALID</v>
      </c>
    </row>
    <row r="127" spans="1:11" x14ac:dyDescent="0.3">
      <c r="A127" t="s">
        <v>45</v>
      </c>
      <c r="B127" t="s">
        <v>34</v>
      </c>
      <c r="C127" t="s">
        <v>21</v>
      </c>
      <c r="D127" t="s">
        <v>26</v>
      </c>
      <c r="E127" t="s">
        <v>32</v>
      </c>
      <c r="F127">
        <v>5695</v>
      </c>
      <c r="G127">
        <v>2158</v>
      </c>
      <c r="H127">
        <v>9.1300000000000008</v>
      </c>
      <c r="I127">
        <v>0.94</v>
      </c>
      <c r="J127">
        <v>8.19</v>
      </c>
      <c r="K127" t="str">
        <f t="shared" si="1"/>
        <v>VALID</v>
      </c>
    </row>
    <row r="128" spans="1:11" x14ac:dyDescent="0.3">
      <c r="A128" t="s">
        <v>45</v>
      </c>
      <c r="B128" t="s">
        <v>20</v>
      </c>
      <c r="C128" t="s">
        <v>30</v>
      </c>
      <c r="D128" t="s">
        <v>31</v>
      </c>
      <c r="E128" t="s">
        <v>27</v>
      </c>
      <c r="F128">
        <v>1744</v>
      </c>
      <c r="G128">
        <v>3799</v>
      </c>
      <c r="H128">
        <v>5.48</v>
      </c>
      <c r="I128">
        <v>0.44</v>
      </c>
      <c r="J128">
        <v>5.04</v>
      </c>
      <c r="K128" t="str">
        <f t="shared" si="1"/>
        <v>VALID</v>
      </c>
    </row>
    <row r="129" spans="1:11" x14ac:dyDescent="0.3">
      <c r="A129" t="s">
        <v>64</v>
      </c>
      <c r="B129" t="s">
        <v>29</v>
      </c>
      <c r="C129" t="s">
        <v>21</v>
      </c>
      <c r="D129" t="s">
        <v>22</v>
      </c>
      <c r="E129" t="s">
        <v>32</v>
      </c>
      <c r="F129">
        <v>3436</v>
      </c>
      <c r="G129">
        <v>5420</v>
      </c>
      <c r="H129">
        <v>7.13</v>
      </c>
      <c r="I129">
        <v>0.68</v>
      </c>
      <c r="J129">
        <v>6.45</v>
      </c>
      <c r="K129" t="str">
        <f t="shared" si="1"/>
        <v>VALID</v>
      </c>
    </row>
    <row r="130" spans="1:11" x14ac:dyDescent="0.3">
      <c r="A130" t="s">
        <v>64</v>
      </c>
      <c r="B130" t="s">
        <v>20</v>
      </c>
      <c r="C130" t="s">
        <v>30</v>
      </c>
      <c r="D130" t="s">
        <v>22</v>
      </c>
      <c r="E130" t="s">
        <v>27</v>
      </c>
      <c r="F130">
        <v>2142</v>
      </c>
      <c r="G130">
        <v>2619</v>
      </c>
      <c r="H130">
        <v>6.2</v>
      </c>
      <c r="I130">
        <v>0.27</v>
      </c>
      <c r="J130">
        <v>5.93</v>
      </c>
      <c r="K130" t="str">
        <f t="shared" ref="K130:K193" si="2">IF(ISNUMBER(DATEVALUE(A130)),"VALID","INVALID")</f>
        <v>VALID</v>
      </c>
    </row>
    <row r="131" spans="1:11" x14ac:dyDescent="0.3">
      <c r="A131" t="s">
        <v>64</v>
      </c>
      <c r="B131" t="s">
        <v>29</v>
      </c>
      <c r="C131" t="s">
        <v>21</v>
      </c>
      <c r="D131" t="s">
        <v>22</v>
      </c>
      <c r="E131" t="s">
        <v>23</v>
      </c>
      <c r="F131">
        <v>3436</v>
      </c>
      <c r="G131">
        <v>5420</v>
      </c>
      <c r="H131">
        <v>7.13</v>
      </c>
      <c r="I131">
        <v>0.68</v>
      </c>
      <c r="J131">
        <v>6.45</v>
      </c>
      <c r="K131" t="str">
        <f t="shared" si="2"/>
        <v>VALID</v>
      </c>
    </row>
    <row r="132" spans="1:11" x14ac:dyDescent="0.3">
      <c r="A132" t="s">
        <v>64</v>
      </c>
      <c r="B132" t="s">
        <v>20</v>
      </c>
      <c r="C132" t="s">
        <v>30</v>
      </c>
      <c r="D132" t="s">
        <v>22</v>
      </c>
      <c r="E132" t="s">
        <v>27</v>
      </c>
      <c r="F132">
        <v>2142</v>
      </c>
      <c r="G132">
        <v>2619</v>
      </c>
      <c r="H132">
        <v>6.2</v>
      </c>
      <c r="I132">
        <v>0.27</v>
      </c>
      <c r="J132">
        <v>5.93</v>
      </c>
      <c r="K132" t="str">
        <f t="shared" si="2"/>
        <v>VALID</v>
      </c>
    </row>
    <row r="133" spans="1:11" x14ac:dyDescent="0.3">
      <c r="A133" t="s">
        <v>64</v>
      </c>
      <c r="B133" t="s">
        <v>20</v>
      </c>
      <c r="C133" t="s">
        <v>30</v>
      </c>
      <c r="D133" t="s">
        <v>22</v>
      </c>
      <c r="E133" t="s">
        <v>27</v>
      </c>
      <c r="F133">
        <v>2142</v>
      </c>
      <c r="G133">
        <v>2619</v>
      </c>
      <c r="H133">
        <v>6.2</v>
      </c>
      <c r="I133">
        <v>0.27</v>
      </c>
      <c r="J133">
        <v>5.93</v>
      </c>
      <c r="K133" t="str">
        <f t="shared" si="2"/>
        <v>VALID</v>
      </c>
    </row>
    <row r="134" spans="1:11" x14ac:dyDescent="0.3">
      <c r="A134" t="s">
        <v>64</v>
      </c>
      <c r="B134" t="s">
        <v>20</v>
      </c>
      <c r="C134" t="s">
        <v>25</v>
      </c>
      <c r="E134" t="s">
        <v>27</v>
      </c>
      <c r="F134">
        <v>6832</v>
      </c>
      <c r="G134">
        <v>5330</v>
      </c>
      <c r="H134">
        <v>4.42</v>
      </c>
      <c r="I134">
        <v>0.41</v>
      </c>
      <c r="J134">
        <v>4.01</v>
      </c>
      <c r="K134" t="str">
        <f t="shared" si="2"/>
        <v>VALID</v>
      </c>
    </row>
    <row r="135" spans="1:11" x14ac:dyDescent="0.3">
      <c r="A135" t="s">
        <v>51</v>
      </c>
      <c r="B135" t="s">
        <v>29</v>
      </c>
      <c r="C135" t="s">
        <v>30</v>
      </c>
      <c r="D135" t="s">
        <v>22</v>
      </c>
      <c r="E135" t="s">
        <v>27</v>
      </c>
      <c r="F135">
        <v>2901</v>
      </c>
      <c r="G135">
        <v>1408</v>
      </c>
      <c r="H135">
        <v>4.3600000000000003</v>
      </c>
      <c r="I135">
        <v>0.72</v>
      </c>
      <c r="J135">
        <v>3.64</v>
      </c>
      <c r="K135" t="str">
        <f t="shared" si="2"/>
        <v>VALID</v>
      </c>
    </row>
    <row r="136" spans="1:11" x14ac:dyDescent="0.3">
      <c r="A136" t="s">
        <v>51</v>
      </c>
      <c r="B136" t="s">
        <v>29</v>
      </c>
      <c r="C136" t="s">
        <v>30</v>
      </c>
      <c r="D136" t="s">
        <v>22</v>
      </c>
      <c r="E136" t="s">
        <v>27</v>
      </c>
      <c r="F136">
        <v>2901</v>
      </c>
      <c r="G136">
        <v>1408</v>
      </c>
      <c r="H136">
        <v>4.3600000000000003</v>
      </c>
      <c r="I136">
        <v>0.72</v>
      </c>
      <c r="J136">
        <v>3.64</v>
      </c>
      <c r="K136" t="str">
        <f t="shared" si="2"/>
        <v>VALID</v>
      </c>
    </row>
    <row r="137" spans="1:11" x14ac:dyDescent="0.3">
      <c r="A137" t="s">
        <v>88</v>
      </c>
      <c r="B137" t="s">
        <v>34</v>
      </c>
      <c r="C137" t="s">
        <v>21</v>
      </c>
      <c r="D137" t="s">
        <v>26</v>
      </c>
      <c r="E137" t="s">
        <v>27</v>
      </c>
      <c r="F137">
        <v>6569</v>
      </c>
      <c r="G137">
        <v>1391</v>
      </c>
      <c r="H137">
        <v>7.1</v>
      </c>
      <c r="I137">
        <v>0.35</v>
      </c>
      <c r="J137">
        <v>6.75</v>
      </c>
      <c r="K137" t="str">
        <f t="shared" si="2"/>
        <v>VALID</v>
      </c>
    </row>
    <row r="138" spans="1:11" x14ac:dyDescent="0.3">
      <c r="A138" t="s">
        <v>88</v>
      </c>
      <c r="B138" t="s">
        <v>34</v>
      </c>
      <c r="C138" t="s">
        <v>21</v>
      </c>
      <c r="D138" t="s">
        <v>26</v>
      </c>
      <c r="E138" t="s">
        <v>27</v>
      </c>
      <c r="F138">
        <v>6569</v>
      </c>
      <c r="G138">
        <v>1391</v>
      </c>
      <c r="H138">
        <v>7.1</v>
      </c>
      <c r="I138">
        <v>0.35</v>
      </c>
      <c r="J138">
        <v>6.75</v>
      </c>
      <c r="K138" t="str">
        <f t="shared" si="2"/>
        <v>VALID</v>
      </c>
    </row>
    <row r="139" spans="1:11" x14ac:dyDescent="0.3">
      <c r="A139" t="s">
        <v>65</v>
      </c>
      <c r="B139" t="s">
        <v>29</v>
      </c>
      <c r="C139" t="s">
        <v>21</v>
      </c>
      <c r="D139" t="s">
        <v>31</v>
      </c>
      <c r="E139" t="s">
        <v>27</v>
      </c>
      <c r="F139">
        <v>5615</v>
      </c>
      <c r="G139">
        <v>3582</v>
      </c>
      <c r="H139">
        <v>8.6</v>
      </c>
      <c r="I139">
        <v>1.04</v>
      </c>
      <c r="J139">
        <v>7.56</v>
      </c>
      <c r="K139" t="str">
        <f t="shared" si="2"/>
        <v>VALID</v>
      </c>
    </row>
    <row r="140" spans="1:11" x14ac:dyDescent="0.3">
      <c r="A140" t="s">
        <v>65</v>
      </c>
      <c r="B140" t="s">
        <v>29</v>
      </c>
      <c r="C140" t="s">
        <v>21</v>
      </c>
      <c r="D140" t="s">
        <v>31</v>
      </c>
      <c r="E140" t="s">
        <v>27</v>
      </c>
      <c r="F140">
        <v>5615</v>
      </c>
      <c r="G140">
        <v>3582</v>
      </c>
      <c r="H140">
        <v>8.6</v>
      </c>
      <c r="I140">
        <v>1.04</v>
      </c>
      <c r="J140">
        <v>7.56</v>
      </c>
      <c r="K140" t="str">
        <f t="shared" si="2"/>
        <v>VALID</v>
      </c>
    </row>
    <row r="141" spans="1:11" x14ac:dyDescent="0.3">
      <c r="A141" t="s">
        <v>65</v>
      </c>
      <c r="B141" t="s">
        <v>20</v>
      </c>
      <c r="C141" t="s">
        <v>21</v>
      </c>
      <c r="D141" t="s">
        <v>22</v>
      </c>
      <c r="E141" t="s">
        <v>27</v>
      </c>
      <c r="F141">
        <v>2077</v>
      </c>
      <c r="G141">
        <v>5424</v>
      </c>
      <c r="H141">
        <v>5.46</v>
      </c>
      <c r="I141">
        <v>0.81</v>
      </c>
      <c r="J141">
        <v>4.6500000000000004</v>
      </c>
      <c r="K141" t="str">
        <f t="shared" si="2"/>
        <v>VALID</v>
      </c>
    </row>
    <row r="142" spans="1:11" x14ac:dyDescent="0.3">
      <c r="A142" t="s">
        <v>65</v>
      </c>
      <c r="B142" t="s">
        <v>20</v>
      </c>
      <c r="C142" t="s">
        <v>21</v>
      </c>
      <c r="D142" t="s">
        <v>22</v>
      </c>
      <c r="E142" t="s">
        <v>27</v>
      </c>
      <c r="F142">
        <v>2077</v>
      </c>
      <c r="G142">
        <v>5424</v>
      </c>
      <c r="H142">
        <v>5.46</v>
      </c>
      <c r="I142">
        <v>0.81</v>
      </c>
      <c r="J142">
        <v>4.6500000000000004</v>
      </c>
      <c r="K142" t="str">
        <f t="shared" si="2"/>
        <v>VALID</v>
      </c>
    </row>
    <row r="143" spans="1:11" x14ac:dyDescent="0.3">
      <c r="A143" t="s">
        <v>65</v>
      </c>
      <c r="B143" t="s">
        <v>20</v>
      </c>
      <c r="C143" t="s">
        <v>21</v>
      </c>
      <c r="D143" t="s">
        <v>22</v>
      </c>
      <c r="E143" t="s">
        <v>27</v>
      </c>
      <c r="F143">
        <v>2077</v>
      </c>
      <c r="G143">
        <v>5424</v>
      </c>
      <c r="H143">
        <v>5.46</v>
      </c>
      <c r="I143">
        <v>0.81</v>
      </c>
      <c r="J143">
        <v>4.6500000000000004</v>
      </c>
      <c r="K143" t="str">
        <f t="shared" si="2"/>
        <v>VALID</v>
      </c>
    </row>
    <row r="144" spans="1:11" x14ac:dyDescent="0.3">
      <c r="A144" t="s">
        <v>65</v>
      </c>
      <c r="B144" t="s">
        <v>20</v>
      </c>
      <c r="C144" t="s">
        <v>21</v>
      </c>
      <c r="D144" t="s">
        <v>22</v>
      </c>
      <c r="E144" t="s">
        <v>27</v>
      </c>
      <c r="F144">
        <v>2077</v>
      </c>
      <c r="G144">
        <v>5424</v>
      </c>
      <c r="H144">
        <v>5.46</v>
      </c>
      <c r="I144">
        <v>0.81</v>
      </c>
      <c r="J144">
        <v>4.6500000000000004</v>
      </c>
      <c r="K144" t="str">
        <f t="shared" si="2"/>
        <v>VALID</v>
      </c>
    </row>
    <row r="145" spans="1:11" x14ac:dyDescent="0.3">
      <c r="A145" t="s">
        <v>65</v>
      </c>
      <c r="B145" t="s">
        <v>20</v>
      </c>
      <c r="C145" t="s">
        <v>21</v>
      </c>
      <c r="D145" t="s">
        <v>22</v>
      </c>
      <c r="E145" t="s">
        <v>27</v>
      </c>
      <c r="F145">
        <v>2077</v>
      </c>
      <c r="G145">
        <v>5424</v>
      </c>
      <c r="H145">
        <v>5.46</v>
      </c>
      <c r="I145">
        <v>0.81</v>
      </c>
      <c r="J145">
        <v>4.6500000000000004</v>
      </c>
      <c r="K145" t="str">
        <f t="shared" si="2"/>
        <v>VALID</v>
      </c>
    </row>
    <row r="146" spans="1:11" x14ac:dyDescent="0.3">
      <c r="A146" t="s">
        <v>90</v>
      </c>
      <c r="B146" t="s">
        <v>20</v>
      </c>
      <c r="C146" t="s">
        <v>25</v>
      </c>
      <c r="D146" t="s">
        <v>26</v>
      </c>
      <c r="E146" t="s">
        <v>27</v>
      </c>
      <c r="F146">
        <v>1076</v>
      </c>
      <c r="G146">
        <v>657</v>
      </c>
      <c r="H146">
        <v>5.9</v>
      </c>
      <c r="I146">
        <v>1.99</v>
      </c>
      <c r="J146">
        <v>3.91</v>
      </c>
      <c r="K146" t="str">
        <f t="shared" si="2"/>
        <v>VALID</v>
      </c>
    </row>
    <row r="147" spans="1:11" x14ac:dyDescent="0.3">
      <c r="A147" t="s">
        <v>19</v>
      </c>
      <c r="B147" t="s">
        <v>20</v>
      </c>
      <c r="C147" t="s">
        <v>21</v>
      </c>
      <c r="D147" t="s">
        <v>22</v>
      </c>
      <c r="E147" t="s">
        <v>23</v>
      </c>
      <c r="F147">
        <v>2760</v>
      </c>
      <c r="G147">
        <v>2366</v>
      </c>
      <c r="H147">
        <v>9.06</v>
      </c>
      <c r="I147">
        <v>0.31</v>
      </c>
      <c r="J147">
        <v>8.75</v>
      </c>
      <c r="K147" t="str">
        <f t="shared" si="2"/>
        <v>VALID</v>
      </c>
    </row>
    <row r="148" spans="1:11" x14ac:dyDescent="0.3">
      <c r="A148" t="s">
        <v>19</v>
      </c>
      <c r="B148" t="s">
        <v>20</v>
      </c>
      <c r="C148" t="s">
        <v>21</v>
      </c>
      <c r="D148" t="s">
        <v>22</v>
      </c>
      <c r="E148" t="s">
        <v>23</v>
      </c>
      <c r="F148">
        <v>2760</v>
      </c>
      <c r="G148">
        <v>2366</v>
      </c>
      <c r="H148">
        <v>9.06</v>
      </c>
      <c r="I148">
        <v>0.31</v>
      </c>
      <c r="J148">
        <v>8.75</v>
      </c>
      <c r="K148" t="str">
        <f t="shared" si="2"/>
        <v>VALID</v>
      </c>
    </row>
    <row r="149" spans="1:11" x14ac:dyDescent="0.3">
      <c r="A149" t="s">
        <v>19</v>
      </c>
      <c r="B149" t="s">
        <v>20</v>
      </c>
      <c r="C149" t="s">
        <v>21</v>
      </c>
      <c r="D149" t="s">
        <v>22</v>
      </c>
      <c r="E149" t="s">
        <v>23</v>
      </c>
      <c r="F149">
        <v>2760</v>
      </c>
      <c r="G149">
        <v>2366</v>
      </c>
      <c r="H149">
        <v>9.06</v>
      </c>
      <c r="I149">
        <v>0.31</v>
      </c>
      <c r="J149">
        <v>8.75</v>
      </c>
      <c r="K149" t="str">
        <f t="shared" si="2"/>
        <v>VALID</v>
      </c>
    </row>
    <row r="150" spans="1:11" x14ac:dyDescent="0.3">
      <c r="A150" t="s">
        <v>28</v>
      </c>
      <c r="B150" t="s">
        <v>29</v>
      </c>
      <c r="C150" t="s">
        <v>30</v>
      </c>
      <c r="D150" t="s">
        <v>31</v>
      </c>
      <c r="E150" t="s">
        <v>32</v>
      </c>
      <c r="F150">
        <v>1210</v>
      </c>
      <c r="G150">
        <v>2267</v>
      </c>
      <c r="H150">
        <v>8.6300000000000008</v>
      </c>
      <c r="I150">
        <v>0.94</v>
      </c>
      <c r="J150">
        <v>7.69</v>
      </c>
      <c r="K150" t="str">
        <f t="shared" si="2"/>
        <v>VALID</v>
      </c>
    </row>
    <row r="151" spans="1:11" x14ac:dyDescent="0.3">
      <c r="A151" t="s">
        <v>28</v>
      </c>
      <c r="B151" t="s">
        <v>34</v>
      </c>
      <c r="C151" t="s">
        <v>21</v>
      </c>
      <c r="D151" t="s">
        <v>26</v>
      </c>
      <c r="E151" t="s">
        <v>23</v>
      </c>
      <c r="F151">
        <v>5409</v>
      </c>
      <c r="G151">
        <v>4542</v>
      </c>
      <c r="H151">
        <v>5.83</v>
      </c>
      <c r="I151">
        <v>0.45</v>
      </c>
      <c r="J151">
        <v>5.38</v>
      </c>
      <c r="K151" t="str">
        <f t="shared" si="2"/>
        <v>VALID</v>
      </c>
    </row>
    <row r="152" spans="1:11" x14ac:dyDescent="0.3">
      <c r="A152" t="s">
        <v>28</v>
      </c>
      <c r="B152" t="s">
        <v>29</v>
      </c>
      <c r="C152" t="s">
        <v>30</v>
      </c>
      <c r="D152" t="s">
        <v>31</v>
      </c>
      <c r="E152" t="s">
        <v>27</v>
      </c>
      <c r="F152">
        <v>1210</v>
      </c>
      <c r="G152">
        <v>2267</v>
      </c>
      <c r="H152">
        <v>8.6300000000000008</v>
      </c>
      <c r="I152">
        <v>0.94</v>
      </c>
      <c r="J152">
        <v>7.69</v>
      </c>
      <c r="K152" t="str">
        <f t="shared" si="2"/>
        <v>VALID</v>
      </c>
    </row>
    <row r="153" spans="1:11" x14ac:dyDescent="0.3">
      <c r="A153" t="s">
        <v>28</v>
      </c>
      <c r="B153" t="s">
        <v>34</v>
      </c>
      <c r="C153" t="s">
        <v>21</v>
      </c>
      <c r="D153" t="s">
        <v>26</v>
      </c>
      <c r="E153" t="s">
        <v>23</v>
      </c>
      <c r="F153">
        <v>5409</v>
      </c>
      <c r="G153">
        <v>4542</v>
      </c>
      <c r="H153">
        <v>5.83</v>
      </c>
      <c r="I153">
        <v>0.45</v>
      </c>
      <c r="J153">
        <v>5.38</v>
      </c>
      <c r="K153" t="str">
        <f t="shared" si="2"/>
        <v>VALID</v>
      </c>
    </row>
    <row r="154" spans="1:11" x14ac:dyDescent="0.3">
      <c r="A154" t="s">
        <v>28</v>
      </c>
      <c r="B154" t="s">
        <v>34</v>
      </c>
      <c r="C154" t="s">
        <v>25</v>
      </c>
      <c r="D154" t="s">
        <v>31</v>
      </c>
      <c r="E154" t="s">
        <v>27</v>
      </c>
      <c r="F154">
        <v>6662</v>
      </c>
      <c r="G154">
        <v>132</v>
      </c>
      <c r="H154">
        <v>9.84</v>
      </c>
      <c r="I154">
        <v>0.52</v>
      </c>
      <c r="J154">
        <v>9.32</v>
      </c>
      <c r="K154" t="str">
        <f t="shared" si="2"/>
        <v>VALID</v>
      </c>
    </row>
    <row r="155" spans="1:11" x14ac:dyDescent="0.3">
      <c r="A155" t="s">
        <v>28</v>
      </c>
      <c r="B155" t="s">
        <v>29</v>
      </c>
      <c r="C155" t="s">
        <v>30</v>
      </c>
      <c r="D155" t="s">
        <v>31</v>
      </c>
      <c r="E155" t="s">
        <v>27</v>
      </c>
      <c r="F155">
        <v>1210</v>
      </c>
      <c r="G155">
        <v>2267</v>
      </c>
      <c r="H155">
        <v>8.6300000000000008</v>
      </c>
      <c r="I155">
        <v>0.94</v>
      </c>
      <c r="J155">
        <v>7.69</v>
      </c>
      <c r="K155" t="str">
        <f t="shared" si="2"/>
        <v>VALID</v>
      </c>
    </row>
    <row r="156" spans="1:11" x14ac:dyDescent="0.3">
      <c r="A156" t="s">
        <v>56</v>
      </c>
      <c r="B156" t="s">
        <v>34</v>
      </c>
      <c r="C156" t="s">
        <v>25</v>
      </c>
      <c r="D156" t="s">
        <v>26</v>
      </c>
      <c r="E156" t="s">
        <v>23</v>
      </c>
      <c r="F156">
        <v>4744</v>
      </c>
      <c r="G156">
        <v>4602</v>
      </c>
      <c r="H156">
        <v>9.4499999999999993</v>
      </c>
      <c r="I156">
        <v>0.17</v>
      </c>
      <c r="J156">
        <v>9.2799999999999994</v>
      </c>
      <c r="K156" t="str">
        <f t="shared" si="2"/>
        <v>VALID</v>
      </c>
    </row>
    <row r="157" spans="1:11" x14ac:dyDescent="0.3">
      <c r="A157" t="s">
        <v>56</v>
      </c>
      <c r="B157" t="s">
        <v>34</v>
      </c>
      <c r="C157" t="s">
        <v>25</v>
      </c>
      <c r="D157" t="s">
        <v>26</v>
      </c>
      <c r="E157" t="s">
        <v>23</v>
      </c>
      <c r="F157">
        <v>4744</v>
      </c>
      <c r="G157">
        <v>4602</v>
      </c>
      <c r="H157">
        <v>9.4499999999999993</v>
      </c>
      <c r="I157">
        <v>0.17</v>
      </c>
      <c r="J157">
        <v>9.2799999999999994</v>
      </c>
      <c r="K157" t="str">
        <f t="shared" si="2"/>
        <v>VALID</v>
      </c>
    </row>
    <row r="158" spans="1:11" x14ac:dyDescent="0.3">
      <c r="A158" t="s">
        <v>56</v>
      </c>
      <c r="B158" t="s">
        <v>34</v>
      </c>
      <c r="C158" t="s">
        <v>25</v>
      </c>
      <c r="D158" t="s">
        <v>26</v>
      </c>
      <c r="E158" t="s">
        <v>23</v>
      </c>
      <c r="F158">
        <v>4744</v>
      </c>
      <c r="G158">
        <v>4602</v>
      </c>
      <c r="H158">
        <v>9.4499999999999993</v>
      </c>
      <c r="I158">
        <v>0.17</v>
      </c>
      <c r="J158">
        <v>9.2799999999999994</v>
      </c>
      <c r="K158" t="str">
        <f t="shared" si="2"/>
        <v>VALID</v>
      </c>
    </row>
    <row r="159" spans="1:11" x14ac:dyDescent="0.3">
      <c r="A159" t="s">
        <v>56</v>
      </c>
      <c r="B159" t="s">
        <v>29</v>
      </c>
      <c r="C159" t="s">
        <v>21</v>
      </c>
      <c r="D159" t="s">
        <v>22</v>
      </c>
      <c r="E159" t="s">
        <v>23</v>
      </c>
      <c r="F159">
        <v>5154</v>
      </c>
      <c r="H159">
        <v>5.0599999999999996</v>
      </c>
      <c r="I159">
        <v>0.16</v>
      </c>
      <c r="J159">
        <v>4.9000000000000004</v>
      </c>
      <c r="K159" t="str">
        <f t="shared" si="2"/>
        <v>VALID</v>
      </c>
    </row>
    <row r="160" spans="1:11" x14ac:dyDescent="0.3">
      <c r="A160" t="s">
        <v>56</v>
      </c>
      <c r="B160" t="s">
        <v>29</v>
      </c>
      <c r="C160" t="s">
        <v>21</v>
      </c>
      <c r="D160" t="s">
        <v>22</v>
      </c>
      <c r="E160" t="s">
        <v>23</v>
      </c>
      <c r="F160">
        <v>5154</v>
      </c>
      <c r="H160">
        <v>5.0599999999999996</v>
      </c>
      <c r="I160">
        <v>0.16</v>
      </c>
      <c r="J160">
        <v>4.9000000000000004</v>
      </c>
      <c r="K160" t="str">
        <f t="shared" si="2"/>
        <v>VALID</v>
      </c>
    </row>
    <row r="161" spans="1:11" x14ac:dyDescent="0.3">
      <c r="A161" t="s">
        <v>35</v>
      </c>
      <c r="B161" t="s">
        <v>29</v>
      </c>
      <c r="C161" t="s">
        <v>30</v>
      </c>
      <c r="D161" t="s">
        <v>31</v>
      </c>
      <c r="E161" t="s">
        <v>23</v>
      </c>
      <c r="F161">
        <v>7607</v>
      </c>
      <c r="G161">
        <v>4801</v>
      </c>
      <c r="H161">
        <v>6.5</v>
      </c>
      <c r="I161">
        <v>1.52</v>
      </c>
      <c r="J161">
        <v>4.9800000000000004</v>
      </c>
      <c r="K161" t="str">
        <f t="shared" si="2"/>
        <v>VALID</v>
      </c>
    </row>
    <row r="162" spans="1:11" x14ac:dyDescent="0.3">
      <c r="A162" t="s">
        <v>35</v>
      </c>
      <c r="B162" t="s">
        <v>34</v>
      </c>
      <c r="C162" t="s">
        <v>30</v>
      </c>
      <c r="D162" t="s">
        <v>31</v>
      </c>
      <c r="E162" t="s">
        <v>27</v>
      </c>
      <c r="F162">
        <v>1958</v>
      </c>
      <c r="G162">
        <v>2487</v>
      </c>
      <c r="H162">
        <v>6.37</v>
      </c>
      <c r="I162">
        <v>0.68</v>
      </c>
      <c r="J162">
        <v>5.69</v>
      </c>
      <c r="K162" t="str">
        <f t="shared" si="2"/>
        <v>VALID</v>
      </c>
    </row>
    <row r="163" spans="1:11" x14ac:dyDescent="0.3">
      <c r="A163" t="s">
        <v>67</v>
      </c>
      <c r="B163" t="s">
        <v>34</v>
      </c>
      <c r="C163" t="s">
        <v>25</v>
      </c>
      <c r="D163" t="s">
        <v>26</v>
      </c>
      <c r="E163" t="s">
        <v>23</v>
      </c>
      <c r="F163">
        <v>7846</v>
      </c>
      <c r="G163">
        <v>3226</v>
      </c>
      <c r="H163">
        <v>9.9</v>
      </c>
      <c r="I163">
        <v>0.26</v>
      </c>
      <c r="J163">
        <v>9.64</v>
      </c>
      <c r="K163" t="str">
        <f t="shared" si="2"/>
        <v>VALID</v>
      </c>
    </row>
    <row r="164" spans="1:11" x14ac:dyDescent="0.3">
      <c r="A164" t="s">
        <v>67</v>
      </c>
      <c r="B164" t="s">
        <v>20</v>
      </c>
      <c r="C164" t="s">
        <v>30</v>
      </c>
      <c r="D164" t="s">
        <v>22</v>
      </c>
      <c r="E164" t="s">
        <v>23</v>
      </c>
      <c r="F164">
        <v>3640</v>
      </c>
      <c r="G164">
        <v>4576</v>
      </c>
      <c r="H164">
        <v>7.69</v>
      </c>
      <c r="I164">
        <v>1.92</v>
      </c>
      <c r="J164">
        <v>5.77</v>
      </c>
      <c r="K164" t="str">
        <f t="shared" si="2"/>
        <v>VALID</v>
      </c>
    </row>
    <row r="165" spans="1:11" x14ac:dyDescent="0.3">
      <c r="A165" t="s">
        <v>67</v>
      </c>
      <c r="B165" t="s">
        <v>29</v>
      </c>
      <c r="C165" t="s">
        <v>30</v>
      </c>
      <c r="D165" t="s">
        <v>22</v>
      </c>
      <c r="E165" t="s">
        <v>27</v>
      </c>
      <c r="F165">
        <v>653</v>
      </c>
      <c r="G165">
        <v>1706</v>
      </c>
      <c r="H165">
        <v>6.41</v>
      </c>
      <c r="I165">
        <v>1.81</v>
      </c>
      <c r="J165">
        <v>4.5999999999999996</v>
      </c>
      <c r="K165" t="str">
        <f t="shared" si="2"/>
        <v>VALID</v>
      </c>
    </row>
    <row r="166" spans="1:11" x14ac:dyDescent="0.3">
      <c r="A166" t="s">
        <v>67</v>
      </c>
      <c r="B166" t="s">
        <v>34</v>
      </c>
      <c r="C166" t="s">
        <v>25</v>
      </c>
      <c r="D166" t="s">
        <v>31</v>
      </c>
      <c r="E166" t="s">
        <v>27</v>
      </c>
      <c r="F166">
        <v>7713</v>
      </c>
      <c r="G166">
        <v>5371</v>
      </c>
      <c r="H166">
        <v>7.34</v>
      </c>
      <c r="I166">
        <v>0.39</v>
      </c>
      <c r="J166">
        <v>6.95</v>
      </c>
      <c r="K166" t="str">
        <f t="shared" si="2"/>
        <v>VALID</v>
      </c>
    </row>
    <row r="167" spans="1:11" x14ac:dyDescent="0.3">
      <c r="A167" t="s">
        <v>67</v>
      </c>
      <c r="B167" t="s">
        <v>34</v>
      </c>
      <c r="C167" t="s">
        <v>25</v>
      </c>
      <c r="D167" t="s">
        <v>26</v>
      </c>
      <c r="E167" t="s">
        <v>23</v>
      </c>
      <c r="F167">
        <v>7846</v>
      </c>
      <c r="G167">
        <v>3226</v>
      </c>
      <c r="H167">
        <v>9.9</v>
      </c>
      <c r="I167">
        <v>0.26</v>
      </c>
      <c r="J167">
        <v>9.64</v>
      </c>
      <c r="K167" t="str">
        <f t="shared" si="2"/>
        <v>VALID</v>
      </c>
    </row>
    <row r="168" spans="1:11" x14ac:dyDescent="0.3">
      <c r="A168" t="s">
        <v>67</v>
      </c>
      <c r="B168" t="s">
        <v>29</v>
      </c>
      <c r="C168" t="s">
        <v>30</v>
      </c>
      <c r="D168" t="s">
        <v>22</v>
      </c>
      <c r="E168" t="s">
        <v>27</v>
      </c>
      <c r="F168">
        <v>653</v>
      </c>
      <c r="G168">
        <v>1706</v>
      </c>
      <c r="H168">
        <v>6.41</v>
      </c>
      <c r="I168">
        <v>1.81</v>
      </c>
      <c r="J168">
        <v>4.5999999999999996</v>
      </c>
      <c r="K168" t="str">
        <f t="shared" si="2"/>
        <v>VALID</v>
      </c>
    </row>
    <row r="169" spans="1:11" x14ac:dyDescent="0.3">
      <c r="A169" t="s">
        <v>67</v>
      </c>
      <c r="B169" t="s">
        <v>34</v>
      </c>
      <c r="C169" t="s">
        <v>25</v>
      </c>
      <c r="D169" t="s">
        <v>26</v>
      </c>
      <c r="E169" t="s">
        <v>23</v>
      </c>
      <c r="F169">
        <v>7846</v>
      </c>
      <c r="G169">
        <v>3226</v>
      </c>
      <c r="H169">
        <v>9.9</v>
      </c>
      <c r="I169">
        <v>0.26</v>
      </c>
      <c r="J169">
        <v>9.64</v>
      </c>
      <c r="K169" t="str">
        <f t="shared" si="2"/>
        <v>VALID</v>
      </c>
    </row>
    <row r="170" spans="1:11" x14ac:dyDescent="0.3">
      <c r="A170" t="s">
        <v>94</v>
      </c>
      <c r="B170" t="s">
        <v>34</v>
      </c>
      <c r="C170" t="s">
        <v>30</v>
      </c>
      <c r="D170" t="s">
        <v>31</v>
      </c>
      <c r="E170" t="s">
        <v>23</v>
      </c>
      <c r="F170">
        <v>7669</v>
      </c>
      <c r="G170">
        <v>5723</v>
      </c>
      <c r="H170">
        <v>9.6999999999999993</v>
      </c>
      <c r="I170">
        <v>0.65</v>
      </c>
      <c r="J170">
        <v>9.0500000000000007</v>
      </c>
      <c r="K170" t="str">
        <f t="shared" si="2"/>
        <v>VALID</v>
      </c>
    </row>
    <row r="171" spans="1:11" x14ac:dyDescent="0.3">
      <c r="A171" t="s">
        <v>94</v>
      </c>
      <c r="B171" t="s">
        <v>34</v>
      </c>
      <c r="C171" t="s">
        <v>30</v>
      </c>
      <c r="D171" t="s">
        <v>31</v>
      </c>
      <c r="E171" t="s">
        <v>23</v>
      </c>
      <c r="F171">
        <v>7669</v>
      </c>
      <c r="G171">
        <v>5723</v>
      </c>
      <c r="H171">
        <v>9.6999999999999993</v>
      </c>
      <c r="I171">
        <v>0.65</v>
      </c>
      <c r="J171">
        <v>9.0500000000000007</v>
      </c>
      <c r="K171" t="str">
        <f t="shared" si="2"/>
        <v>VALID</v>
      </c>
    </row>
    <row r="172" spans="1:11" x14ac:dyDescent="0.3">
      <c r="A172" t="s">
        <v>97</v>
      </c>
      <c r="B172" t="s">
        <v>34</v>
      </c>
      <c r="C172" t="s">
        <v>25</v>
      </c>
      <c r="D172" t="s">
        <v>26</v>
      </c>
      <c r="E172" t="s">
        <v>23</v>
      </c>
      <c r="F172">
        <v>1925</v>
      </c>
      <c r="G172">
        <v>1096</v>
      </c>
      <c r="H172">
        <v>6.2</v>
      </c>
      <c r="I172">
        <v>1.33</v>
      </c>
      <c r="J172">
        <v>4.87</v>
      </c>
      <c r="K172" t="str">
        <f t="shared" si="2"/>
        <v>VALID</v>
      </c>
    </row>
    <row r="173" spans="1:11" x14ac:dyDescent="0.3">
      <c r="A173" t="s">
        <v>97</v>
      </c>
      <c r="B173" t="s">
        <v>34</v>
      </c>
      <c r="C173" t="s">
        <v>30</v>
      </c>
      <c r="D173" t="s">
        <v>26</v>
      </c>
      <c r="E173" t="s">
        <v>27</v>
      </c>
      <c r="F173">
        <v>6878</v>
      </c>
      <c r="G173">
        <v>106</v>
      </c>
      <c r="H173">
        <v>8.32</v>
      </c>
      <c r="I173">
        <v>0.91</v>
      </c>
      <c r="J173">
        <v>7.41</v>
      </c>
      <c r="K173" t="str">
        <f t="shared" si="2"/>
        <v>VALID</v>
      </c>
    </row>
    <row r="174" spans="1:11" x14ac:dyDescent="0.3">
      <c r="A174" t="s">
        <v>97</v>
      </c>
      <c r="B174" t="s">
        <v>34</v>
      </c>
      <c r="C174" t="s">
        <v>25</v>
      </c>
      <c r="D174" t="s">
        <v>26</v>
      </c>
      <c r="E174" t="s">
        <v>23</v>
      </c>
      <c r="F174">
        <v>7839</v>
      </c>
      <c r="G174">
        <v>984</v>
      </c>
      <c r="H174">
        <v>7.87</v>
      </c>
      <c r="I174">
        <v>0.41</v>
      </c>
      <c r="J174">
        <v>7.46</v>
      </c>
      <c r="K174" t="str">
        <f t="shared" si="2"/>
        <v>VALID</v>
      </c>
    </row>
    <row r="175" spans="1:11" x14ac:dyDescent="0.3">
      <c r="A175" t="s">
        <v>97</v>
      </c>
      <c r="B175" t="s">
        <v>34</v>
      </c>
      <c r="C175" t="s">
        <v>25</v>
      </c>
      <c r="D175" t="s">
        <v>26</v>
      </c>
      <c r="E175" t="s">
        <v>23</v>
      </c>
      <c r="F175">
        <v>1925</v>
      </c>
      <c r="G175">
        <v>1096</v>
      </c>
      <c r="H175">
        <v>6.2</v>
      </c>
      <c r="I175">
        <v>1.33</v>
      </c>
      <c r="J175">
        <v>4.87</v>
      </c>
      <c r="K175" t="str">
        <f t="shared" si="2"/>
        <v>VALID</v>
      </c>
    </row>
    <row r="176" spans="1:11" x14ac:dyDescent="0.3">
      <c r="A176" t="s">
        <v>97</v>
      </c>
      <c r="B176" t="s">
        <v>34</v>
      </c>
      <c r="C176" t="s">
        <v>25</v>
      </c>
      <c r="D176" t="s">
        <v>26</v>
      </c>
      <c r="E176" t="s">
        <v>23</v>
      </c>
      <c r="F176">
        <v>7839</v>
      </c>
      <c r="G176">
        <v>984</v>
      </c>
      <c r="H176">
        <v>7.87</v>
      </c>
      <c r="I176">
        <v>0.41</v>
      </c>
      <c r="J176">
        <v>7.46</v>
      </c>
      <c r="K176" t="str">
        <f t="shared" si="2"/>
        <v>VALID</v>
      </c>
    </row>
    <row r="177" spans="1:11" x14ac:dyDescent="0.3">
      <c r="A177" t="s">
        <v>66</v>
      </c>
      <c r="B177" t="s">
        <v>20</v>
      </c>
      <c r="C177" t="s">
        <v>25</v>
      </c>
      <c r="D177" t="s">
        <v>22</v>
      </c>
      <c r="E177" t="s">
        <v>23</v>
      </c>
      <c r="F177">
        <v>204</v>
      </c>
      <c r="G177">
        <v>4045</v>
      </c>
      <c r="H177">
        <v>6.66</v>
      </c>
      <c r="I177">
        <v>1.31</v>
      </c>
      <c r="J177">
        <v>5.35</v>
      </c>
      <c r="K177" t="str">
        <f t="shared" si="2"/>
        <v>VALID</v>
      </c>
    </row>
    <row r="178" spans="1:11" x14ac:dyDescent="0.3">
      <c r="A178" t="s">
        <v>66</v>
      </c>
      <c r="B178" t="s">
        <v>20</v>
      </c>
      <c r="C178" t="s">
        <v>25</v>
      </c>
      <c r="D178" t="s">
        <v>22</v>
      </c>
      <c r="E178" t="s">
        <v>23</v>
      </c>
      <c r="F178">
        <v>204</v>
      </c>
      <c r="G178">
        <v>4045</v>
      </c>
      <c r="H178">
        <v>6.66</v>
      </c>
      <c r="I178">
        <v>1.31</v>
      </c>
      <c r="J178">
        <v>5.35</v>
      </c>
      <c r="K178" t="str">
        <f t="shared" si="2"/>
        <v>VALID</v>
      </c>
    </row>
    <row r="179" spans="1:11" x14ac:dyDescent="0.3">
      <c r="A179" t="s">
        <v>76</v>
      </c>
      <c r="B179" t="s">
        <v>34</v>
      </c>
      <c r="C179" t="s">
        <v>25</v>
      </c>
      <c r="D179" t="s">
        <v>22</v>
      </c>
      <c r="E179" t="s">
        <v>23</v>
      </c>
      <c r="F179">
        <v>7647</v>
      </c>
      <c r="G179">
        <v>6080</v>
      </c>
      <c r="H179">
        <v>6.82</v>
      </c>
      <c r="I179">
        <v>0.7</v>
      </c>
      <c r="J179">
        <v>6.12</v>
      </c>
      <c r="K179" t="str">
        <f t="shared" si="2"/>
        <v>VALID</v>
      </c>
    </row>
    <row r="180" spans="1:11" x14ac:dyDescent="0.3">
      <c r="A180" t="s">
        <v>76</v>
      </c>
      <c r="B180" t="s">
        <v>29</v>
      </c>
      <c r="C180" t="s">
        <v>30</v>
      </c>
      <c r="D180" t="s">
        <v>31</v>
      </c>
      <c r="E180" t="s">
        <v>27</v>
      </c>
      <c r="F180">
        <v>7549</v>
      </c>
      <c r="G180">
        <v>5053</v>
      </c>
      <c r="H180">
        <v>5.6</v>
      </c>
      <c r="I180">
        <v>0.21</v>
      </c>
      <c r="J180">
        <v>5.39</v>
      </c>
      <c r="K180" t="str">
        <f t="shared" si="2"/>
        <v>VALID</v>
      </c>
    </row>
    <row r="181" spans="1:11" x14ac:dyDescent="0.3">
      <c r="A181" t="s">
        <v>76</v>
      </c>
      <c r="B181" t="s">
        <v>29</v>
      </c>
      <c r="C181" t="s">
        <v>30</v>
      </c>
      <c r="D181" t="s">
        <v>31</v>
      </c>
      <c r="E181" t="s">
        <v>27</v>
      </c>
      <c r="F181">
        <v>7549</v>
      </c>
      <c r="G181">
        <v>5053</v>
      </c>
      <c r="H181">
        <v>5.6</v>
      </c>
      <c r="I181">
        <v>0.21</v>
      </c>
      <c r="J181">
        <v>5.39</v>
      </c>
      <c r="K181" t="str">
        <f t="shared" si="2"/>
        <v>VALID</v>
      </c>
    </row>
    <row r="182" spans="1:11" x14ac:dyDescent="0.3">
      <c r="A182" t="s">
        <v>76</v>
      </c>
      <c r="B182" t="s">
        <v>29</v>
      </c>
      <c r="C182" t="s">
        <v>30</v>
      </c>
      <c r="D182" t="s">
        <v>31</v>
      </c>
      <c r="E182" t="s">
        <v>27</v>
      </c>
      <c r="F182">
        <v>7549</v>
      </c>
      <c r="G182">
        <v>5053</v>
      </c>
      <c r="H182">
        <v>5.6</v>
      </c>
      <c r="I182">
        <v>0.21</v>
      </c>
      <c r="J182">
        <v>5.39</v>
      </c>
      <c r="K182" t="str">
        <f t="shared" si="2"/>
        <v>VALID</v>
      </c>
    </row>
    <row r="183" spans="1:11" x14ac:dyDescent="0.3">
      <c r="A183" t="s">
        <v>47</v>
      </c>
      <c r="B183" t="s">
        <v>29</v>
      </c>
      <c r="C183" t="s">
        <v>30</v>
      </c>
      <c r="D183" t="s">
        <v>22</v>
      </c>
      <c r="E183" t="s">
        <v>23</v>
      </c>
      <c r="F183">
        <v>2109</v>
      </c>
      <c r="G183">
        <v>4478</v>
      </c>
      <c r="H183">
        <v>4.33</v>
      </c>
      <c r="I183">
        <v>1.38</v>
      </c>
      <c r="J183">
        <v>2.95</v>
      </c>
      <c r="K183" t="str">
        <f t="shared" si="2"/>
        <v>VALID</v>
      </c>
    </row>
    <row r="184" spans="1:11" x14ac:dyDescent="0.3">
      <c r="A184" t="s">
        <v>47</v>
      </c>
      <c r="B184" t="s">
        <v>29</v>
      </c>
      <c r="C184" t="s">
        <v>30</v>
      </c>
      <c r="D184" t="s">
        <v>22</v>
      </c>
      <c r="E184" t="s">
        <v>23</v>
      </c>
      <c r="F184">
        <v>2109</v>
      </c>
      <c r="G184">
        <v>4478</v>
      </c>
      <c r="H184">
        <v>4.33</v>
      </c>
      <c r="I184">
        <v>1.38</v>
      </c>
      <c r="J184">
        <v>2.95</v>
      </c>
      <c r="K184" t="str">
        <f t="shared" si="2"/>
        <v>VALID</v>
      </c>
    </row>
    <row r="185" spans="1:11" x14ac:dyDescent="0.3">
      <c r="A185" t="s">
        <v>47</v>
      </c>
      <c r="B185" t="s">
        <v>29</v>
      </c>
      <c r="C185" t="s">
        <v>30</v>
      </c>
      <c r="D185" t="s">
        <v>22</v>
      </c>
      <c r="E185" t="s">
        <v>23</v>
      </c>
      <c r="F185">
        <v>2109</v>
      </c>
      <c r="G185">
        <v>4478</v>
      </c>
      <c r="H185">
        <v>4.33</v>
      </c>
      <c r="I185">
        <v>1.38</v>
      </c>
      <c r="J185">
        <v>2.95</v>
      </c>
      <c r="K185" t="str">
        <f t="shared" si="2"/>
        <v>VALID</v>
      </c>
    </row>
    <row r="186" spans="1:11" x14ac:dyDescent="0.3">
      <c r="A186" t="s">
        <v>33</v>
      </c>
      <c r="B186" t="s">
        <v>34</v>
      </c>
      <c r="C186" t="s">
        <v>25</v>
      </c>
      <c r="D186" t="s">
        <v>22</v>
      </c>
      <c r="E186" t="s">
        <v>23</v>
      </c>
      <c r="F186">
        <v>4650</v>
      </c>
      <c r="G186">
        <v>3990</v>
      </c>
      <c r="H186">
        <v>9.5399999999999991</v>
      </c>
      <c r="I186">
        <v>1.51</v>
      </c>
      <c r="J186">
        <v>8.0299999999999994</v>
      </c>
      <c r="K186" t="str">
        <f t="shared" si="2"/>
        <v>VALID</v>
      </c>
    </row>
    <row r="187" spans="1:11" x14ac:dyDescent="0.3">
      <c r="A187" t="s">
        <v>33</v>
      </c>
      <c r="B187" t="s">
        <v>29</v>
      </c>
      <c r="C187" t="s">
        <v>21</v>
      </c>
      <c r="D187" t="s">
        <v>26</v>
      </c>
      <c r="E187" t="s">
        <v>27</v>
      </c>
      <c r="F187">
        <v>6717</v>
      </c>
      <c r="G187">
        <v>1572</v>
      </c>
      <c r="H187">
        <v>6.25</v>
      </c>
      <c r="I187">
        <v>1.89</v>
      </c>
      <c r="J187">
        <v>4.3600000000000003</v>
      </c>
      <c r="K187" t="str">
        <f t="shared" si="2"/>
        <v>VALID</v>
      </c>
    </row>
    <row r="188" spans="1:11" x14ac:dyDescent="0.3">
      <c r="A188" t="s">
        <v>33</v>
      </c>
      <c r="B188" t="s">
        <v>29</v>
      </c>
      <c r="C188" t="s">
        <v>25</v>
      </c>
      <c r="D188" t="s">
        <v>26</v>
      </c>
      <c r="E188" t="s">
        <v>23</v>
      </c>
      <c r="F188">
        <v>2663</v>
      </c>
      <c r="G188">
        <v>5520</v>
      </c>
      <c r="H188">
        <v>5.88</v>
      </c>
      <c r="I188">
        <v>0.89</v>
      </c>
      <c r="J188">
        <v>4.99</v>
      </c>
      <c r="K188" t="str">
        <f t="shared" si="2"/>
        <v>VALID</v>
      </c>
    </row>
    <row r="189" spans="1:11" x14ac:dyDescent="0.3">
      <c r="A189" t="s">
        <v>33</v>
      </c>
      <c r="B189" t="s">
        <v>29</v>
      </c>
      <c r="C189" t="s">
        <v>21</v>
      </c>
      <c r="D189" t="s">
        <v>26</v>
      </c>
      <c r="E189" t="s">
        <v>27</v>
      </c>
      <c r="F189">
        <v>6717</v>
      </c>
      <c r="G189">
        <v>1572</v>
      </c>
      <c r="H189">
        <v>6.25</v>
      </c>
      <c r="I189">
        <v>1.89</v>
      </c>
      <c r="J189">
        <v>4.3600000000000003</v>
      </c>
      <c r="K189" t="str">
        <f t="shared" si="2"/>
        <v>VALID</v>
      </c>
    </row>
    <row r="190" spans="1:11" x14ac:dyDescent="0.3">
      <c r="A190" t="s">
        <v>33</v>
      </c>
      <c r="B190" t="s">
        <v>29</v>
      </c>
      <c r="C190" t="s">
        <v>21</v>
      </c>
      <c r="D190" t="s">
        <v>26</v>
      </c>
      <c r="E190" t="s">
        <v>27</v>
      </c>
      <c r="F190">
        <v>6717</v>
      </c>
      <c r="G190">
        <v>1572</v>
      </c>
      <c r="H190">
        <v>6.25</v>
      </c>
      <c r="I190">
        <v>1.89</v>
      </c>
      <c r="J190">
        <v>4.3600000000000003</v>
      </c>
      <c r="K190" t="str">
        <f t="shared" si="2"/>
        <v>VALID</v>
      </c>
    </row>
    <row r="191" spans="1:11" x14ac:dyDescent="0.3">
      <c r="A191" t="s">
        <v>33</v>
      </c>
      <c r="B191" t="s">
        <v>34</v>
      </c>
      <c r="C191" t="s">
        <v>25</v>
      </c>
      <c r="D191" t="s">
        <v>22</v>
      </c>
      <c r="E191" t="s">
        <v>23</v>
      </c>
      <c r="F191">
        <v>4650</v>
      </c>
      <c r="G191">
        <v>3990</v>
      </c>
      <c r="H191">
        <v>9.5399999999999991</v>
      </c>
      <c r="I191">
        <v>1.51</v>
      </c>
      <c r="J191">
        <v>8.0299999999999994</v>
      </c>
      <c r="K191" t="str">
        <f t="shared" si="2"/>
        <v>VALID</v>
      </c>
    </row>
    <row r="192" spans="1:11" x14ac:dyDescent="0.3">
      <c r="A192" t="s">
        <v>61</v>
      </c>
      <c r="B192" t="s">
        <v>34</v>
      </c>
      <c r="C192" t="s">
        <v>30</v>
      </c>
      <c r="D192" t="s">
        <v>22</v>
      </c>
      <c r="E192" t="s">
        <v>27</v>
      </c>
      <c r="F192">
        <v>7568</v>
      </c>
      <c r="G192">
        <v>4206</v>
      </c>
      <c r="H192">
        <v>8.2100000000000009</v>
      </c>
      <c r="I192">
        <v>0.84</v>
      </c>
      <c r="J192">
        <v>7.37</v>
      </c>
      <c r="K192" t="str">
        <f t="shared" si="2"/>
        <v>VALID</v>
      </c>
    </row>
    <row r="193" spans="1:11" x14ac:dyDescent="0.3">
      <c r="A193" t="s">
        <v>61</v>
      </c>
      <c r="B193" t="s">
        <v>34</v>
      </c>
      <c r="C193" t="s">
        <v>30</v>
      </c>
      <c r="D193" t="s">
        <v>22</v>
      </c>
      <c r="E193" t="s">
        <v>27</v>
      </c>
      <c r="F193">
        <v>7568</v>
      </c>
      <c r="G193">
        <v>4206</v>
      </c>
      <c r="H193">
        <v>8.2100000000000009</v>
      </c>
      <c r="I193">
        <v>0.84</v>
      </c>
      <c r="J193">
        <v>7.37</v>
      </c>
      <c r="K193" t="str">
        <f t="shared" si="2"/>
        <v>VALID</v>
      </c>
    </row>
    <row r="194" spans="1:11" x14ac:dyDescent="0.3">
      <c r="A194" t="s">
        <v>61</v>
      </c>
      <c r="B194" t="s">
        <v>34</v>
      </c>
      <c r="C194" t="s">
        <v>21</v>
      </c>
      <c r="D194" t="s">
        <v>26</v>
      </c>
      <c r="E194" t="s">
        <v>23</v>
      </c>
      <c r="F194">
        <v>5430</v>
      </c>
      <c r="G194">
        <v>178</v>
      </c>
      <c r="H194">
        <v>6.24</v>
      </c>
      <c r="I194">
        <v>1.47</v>
      </c>
      <c r="J194">
        <v>4.7699999999999996</v>
      </c>
      <c r="K194" t="str">
        <f t="shared" ref="K194:K257" si="3">IF(ISNUMBER(DATEVALUE(A194)),"VALID","INVALID")</f>
        <v>VALID</v>
      </c>
    </row>
    <row r="195" spans="1:11" x14ac:dyDescent="0.3">
      <c r="A195" t="s">
        <v>61</v>
      </c>
      <c r="B195" t="s">
        <v>34</v>
      </c>
      <c r="C195" t="s">
        <v>30</v>
      </c>
      <c r="D195" t="s">
        <v>22</v>
      </c>
      <c r="E195" t="s">
        <v>27</v>
      </c>
      <c r="F195">
        <v>7568</v>
      </c>
      <c r="G195">
        <v>4206</v>
      </c>
      <c r="H195">
        <v>8.2100000000000009</v>
      </c>
      <c r="I195">
        <v>0.84</v>
      </c>
      <c r="J195">
        <v>7.37</v>
      </c>
      <c r="K195" t="str">
        <f t="shared" si="3"/>
        <v>VALID</v>
      </c>
    </row>
    <row r="196" spans="1:11" x14ac:dyDescent="0.3">
      <c r="A196" t="s">
        <v>71</v>
      </c>
      <c r="B196" t="s">
        <v>34</v>
      </c>
      <c r="C196" t="s">
        <v>21</v>
      </c>
      <c r="D196" t="s">
        <v>26</v>
      </c>
      <c r="E196" t="s">
        <v>23</v>
      </c>
      <c r="F196">
        <v>680</v>
      </c>
      <c r="G196">
        <v>2580</v>
      </c>
      <c r="H196">
        <v>4.68</v>
      </c>
      <c r="I196">
        <v>1.22</v>
      </c>
      <c r="J196">
        <v>3.46</v>
      </c>
      <c r="K196" t="str">
        <f t="shared" si="3"/>
        <v>VALID</v>
      </c>
    </row>
    <row r="197" spans="1:11" x14ac:dyDescent="0.3">
      <c r="A197" t="s">
        <v>71</v>
      </c>
      <c r="B197" t="s">
        <v>34</v>
      </c>
      <c r="C197" t="s">
        <v>21</v>
      </c>
      <c r="D197" t="s">
        <v>26</v>
      </c>
      <c r="E197" t="s">
        <v>23</v>
      </c>
      <c r="F197">
        <v>680</v>
      </c>
      <c r="G197">
        <v>2580</v>
      </c>
      <c r="H197">
        <v>4.68</v>
      </c>
      <c r="I197">
        <v>1.22</v>
      </c>
      <c r="J197">
        <v>3.46</v>
      </c>
      <c r="K197" t="str">
        <f t="shared" si="3"/>
        <v>VALID</v>
      </c>
    </row>
    <row r="198" spans="1:11" x14ac:dyDescent="0.3">
      <c r="A198" t="s">
        <v>71</v>
      </c>
      <c r="B198" t="s">
        <v>29</v>
      </c>
      <c r="C198" t="s">
        <v>30</v>
      </c>
      <c r="D198" t="s">
        <v>26</v>
      </c>
      <c r="E198" t="s">
        <v>27</v>
      </c>
      <c r="F198">
        <v>4431</v>
      </c>
      <c r="G198">
        <v>4959</v>
      </c>
      <c r="H198">
        <v>6.23</v>
      </c>
      <c r="I198">
        <v>1.1499999999999999</v>
      </c>
      <c r="J198">
        <v>5.08</v>
      </c>
      <c r="K198" t="str">
        <f t="shared" si="3"/>
        <v>VALID</v>
      </c>
    </row>
    <row r="199" spans="1:11" x14ac:dyDescent="0.3">
      <c r="A199" t="s">
        <v>50</v>
      </c>
      <c r="B199" t="s">
        <v>29</v>
      </c>
      <c r="C199" t="s">
        <v>21</v>
      </c>
      <c r="D199" t="s">
        <v>31</v>
      </c>
      <c r="E199" t="s">
        <v>23</v>
      </c>
      <c r="F199">
        <v>1345</v>
      </c>
      <c r="G199">
        <v>2991</v>
      </c>
      <c r="H199">
        <v>8.98</v>
      </c>
      <c r="I199">
        <v>0.48</v>
      </c>
      <c r="J199">
        <v>8.5</v>
      </c>
      <c r="K199" t="str">
        <f t="shared" si="3"/>
        <v>VALID</v>
      </c>
    </row>
    <row r="200" spans="1:11" x14ac:dyDescent="0.3">
      <c r="A200" t="s">
        <v>83</v>
      </c>
      <c r="B200" t="s">
        <v>20</v>
      </c>
      <c r="C200" t="s">
        <v>21</v>
      </c>
      <c r="D200" t="s">
        <v>22</v>
      </c>
      <c r="E200" t="s">
        <v>23</v>
      </c>
      <c r="F200">
        <v>6125</v>
      </c>
      <c r="G200">
        <v>4468</v>
      </c>
      <c r="H200">
        <v>6.57</v>
      </c>
      <c r="I200">
        <v>0.66</v>
      </c>
      <c r="J200">
        <v>5.91</v>
      </c>
      <c r="K200" t="str">
        <f t="shared" si="3"/>
        <v>VALID</v>
      </c>
    </row>
    <row r="201" spans="1:11" x14ac:dyDescent="0.3">
      <c r="A201" t="s">
        <v>83</v>
      </c>
      <c r="B201" t="s">
        <v>29</v>
      </c>
      <c r="C201" t="s">
        <v>30</v>
      </c>
      <c r="D201" t="s">
        <v>26</v>
      </c>
      <c r="E201" t="s">
        <v>27</v>
      </c>
      <c r="F201">
        <v>7696</v>
      </c>
      <c r="G201">
        <v>1475</v>
      </c>
      <c r="H201">
        <v>4.8</v>
      </c>
      <c r="I201">
        <v>1.18</v>
      </c>
      <c r="J201">
        <v>3.62</v>
      </c>
      <c r="K201" t="str">
        <f t="shared" si="3"/>
        <v>VALID</v>
      </c>
    </row>
    <row r="202" spans="1:11" x14ac:dyDescent="0.3">
      <c r="A202" t="s">
        <v>83</v>
      </c>
      <c r="B202" t="s">
        <v>20</v>
      </c>
      <c r="C202" t="s">
        <v>25</v>
      </c>
      <c r="D202" t="s">
        <v>26</v>
      </c>
      <c r="E202" t="s">
        <v>23</v>
      </c>
      <c r="F202">
        <v>1305</v>
      </c>
      <c r="G202">
        <v>4560</v>
      </c>
      <c r="H202">
        <v>5.07</v>
      </c>
      <c r="I202">
        <v>0.37</v>
      </c>
      <c r="J202">
        <v>4.7</v>
      </c>
      <c r="K202" t="str">
        <f t="shared" si="3"/>
        <v>VALID</v>
      </c>
    </row>
    <row r="203" spans="1:11" x14ac:dyDescent="0.3">
      <c r="A203" t="s">
        <v>50</v>
      </c>
      <c r="B203" t="s">
        <v>29</v>
      </c>
      <c r="C203" t="s">
        <v>21</v>
      </c>
      <c r="D203" t="s">
        <v>31</v>
      </c>
      <c r="E203" t="s">
        <v>23</v>
      </c>
      <c r="F203">
        <v>1345</v>
      </c>
      <c r="G203">
        <v>2991</v>
      </c>
      <c r="H203">
        <v>8.98</v>
      </c>
      <c r="I203">
        <v>0.48</v>
      </c>
      <c r="J203">
        <v>8.5</v>
      </c>
      <c r="K203" t="str">
        <f t="shared" si="3"/>
        <v>VALID</v>
      </c>
    </row>
    <row r="204" spans="1:11" x14ac:dyDescent="0.3">
      <c r="A204" t="s">
        <v>50</v>
      </c>
      <c r="B204" t="s">
        <v>29</v>
      </c>
      <c r="C204" t="s">
        <v>21</v>
      </c>
      <c r="D204" t="s">
        <v>31</v>
      </c>
      <c r="E204" t="s">
        <v>23</v>
      </c>
      <c r="F204">
        <v>1345</v>
      </c>
      <c r="G204">
        <v>2991</v>
      </c>
      <c r="H204">
        <v>8.98</v>
      </c>
      <c r="I204">
        <v>0.48</v>
      </c>
      <c r="J204">
        <v>8.5</v>
      </c>
      <c r="K204" t="str">
        <f t="shared" si="3"/>
        <v>VALID</v>
      </c>
    </row>
    <row r="205" spans="1:11" x14ac:dyDescent="0.3">
      <c r="A205" t="s">
        <v>50</v>
      </c>
      <c r="B205" t="s">
        <v>20</v>
      </c>
      <c r="C205" t="s">
        <v>30</v>
      </c>
      <c r="D205" t="s">
        <v>22</v>
      </c>
      <c r="E205" t="s">
        <v>27</v>
      </c>
      <c r="F205">
        <v>5981</v>
      </c>
      <c r="G205">
        <v>6829</v>
      </c>
      <c r="H205">
        <v>4.92</v>
      </c>
      <c r="I205">
        <v>1.46</v>
      </c>
      <c r="J205">
        <v>3.46</v>
      </c>
      <c r="K205" t="str">
        <f t="shared" si="3"/>
        <v>VALID</v>
      </c>
    </row>
    <row r="206" spans="1:11" x14ac:dyDescent="0.3">
      <c r="A206" t="s">
        <v>50</v>
      </c>
      <c r="B206" t="s">
        <v>34</v>
      </c>
      <c r="C206" t="s">
        <v>25</v>
      </c>
      <c r="D206" t="s">
        <v>22</v>
      </c>
      <c r="E206" t="s">
        <v>23</v>
      </c>
      <c r="F206">
        <v>2342</v>
      </c>
      <c r="G206">
        <v>4730</v>
      </c>
      <c r="H206">
        <v>7.05</v>
      </c>
      <c r="I206">
        <v>0.25</v>
      </c>
      <c r="J206">
        <v>6.8</v>
      </c>
      <c r="K206" t="str">
        <f t="shared" si="3"/>
        <v>VALID</v>
      </c>
    </row>
    <row r="207" spans="1:11" x14ac:dyDescent="0.3">
      <c r="A207" t="s">
        <v>68</v>
      </c>
      <c r="B207" t="s">
        <v>29</v>
      </c>
      <c r="C207" t="s">
        <v>21</v>
      </c>
      <c r="D207" t="s">
        <v>31</v>
      </c>
      <c r="E207" t="s">
        <v>27</v>
      </c>
      <c r="F207">
        <v>2122</v>
      </c>
      <c r="G207">
        <v>6499</v>
      </c>
      <c r="H207">
        <v>9.11</v>
      </c>
      <c r="I207">
        <v>0.28999999999999998</v>
      </c>
      <c r="J207">
        <v>8.82</v>
      </c>
      <c r="K207" t="str">
        <f t="shared" si="3"/>
        <v>VALID</v>
      </c>
    </row>
    <row r="208" spans="1:11" x14ac:dyDescent="0.3">
      <c r="A208" t="s">
        <v>68</v>
      </c>
      <c r="B208" t="s">
        <v>29</v>
      </c>
      <c r="C208" t="s">
        <v>21</v>
      </c>
      <c r="D208" t="s">
        <v>31</v>
      </c>
      <c r="E208" t="s">
        <v>27</v>
      </c>
      <c r="F208">
        <v>2122</v>
      </c>
      <c r="G208">
        <v>6499</v>
      </c>
      <c r="H208">
        <v>9.11</v>
      </c>
      <c r="I208">
        <v>0.28999999999999998</v>
      </c>
      <c r="J208">
        <v>8.82</v>
      </c>
      <c r="K208" t="str">
        <f t="shared" si="3"/>
        <v>VALID</v>
      </c>
    </row>
    <row r="209" spans="1:11" x14ac:dyDescent="0.3">
      <c r="A209" t="s">
        <v>68</v>
      </c>
      <c r="B209" t="s">
        <v>29</v>
      </c>
      <c r="C209" t="s">
        <v>21</v>
      </c>
      <c r="D209" t="s">
        <v>31</v>
      </c>
      <c r="E209" t="s">
        <v>27</v>
      </c>
      <c r="F209">
        <v>2122</v>
      </c>
      <c r="G209">
        <v>6499</v>
      </c>
      <c r="H209">
        <v>9.11</v>
      </c>
      <c r="I209">
        <v>0.28999999999999998</v>
      </c>
      <c r="J209">
        <v>8.82</v>
      </c>
      <c r="K209" t="str">
        <f t="shared" si="3"/>
        <v>VALID</v>
      </c>
    </row>
    <row r="210" spans="1:11" x14ac:dyDescent="0.3">
      <c r="A210" t="s">
        <v>74</v>
      </c>
      <c r="B210" t="s">
        <v>29</v>
      </c>
      <c r="C210" t="s">
        <v>30</v>
      </c>
      <c r="D210" t="s">
        <v>26</v>
      </c>
      <c r="E210" t="s">
        <v>27</v>
      </c>
      <c r="F210">
        <v>4746</v>
      </c>
      <c r="G210">
        <v>2902</v>
      </c>
      <c r="H210">
        <v>4.88</v>
      </c>
      <c r="I210">
        <v>1.2</v>
      </c>
      <c r="J210">
        <v>3.68</v>
      </c>
      <c r="K210" t="str">
        <f t="shared" si="3"/>
        <v>VALID</v>
      </c>
    </row>
    <row r="211" spans="1:11" x14ac:dyDescent="0.3">
      <c r="A211" t="s">
        <v>74</v>
      </c>
      <c r="B211" t="s">
        <v>29</v>
      </c>
      <c r="C211" t="s">
        <v>25</v>
      </c>
      <c r="D211" t="s">
        <v>22</v>
      </c>
      <c r="E211" t="s">
        <v>23</v>
      </c>
      <c r="F211">
        <v>4646</v>
      </c>
      <c r="G211">
        <v>6633</v>
      </c>
      <c r="H211">
        <v>8.1300000000000008</v>
      </c>
      <c r="I211">
        <v>0.82</v>
      </c>
      <c r="J211">
        <v>7.31</v>
      </c>
      <c r="K211" t="str">
        <f t="shared" si="3"/>
        <v>VALID</v>
      </c>
    </row>
    <row r="212" spans="1:11" x14ac:dyDescent="0.3">
      <c r="A212" t="s">
        <v>74</v>
      </c>
      <c r="B212" t="s">
        <v>29</v>
      </c>
      <c r="C212" t="s">
        <v>30</v>
      </c>
      <c r="D212" t="s">
        <v>26</v>
      </c>
      <c r="E212" t="s">
        <v>27</v>
      </c>
      <c r="F212">
        <v>4746</v>
      </c>
      <c r="G212">
        <v>2902</v>
      </c>
      <c r="H212">
        <v>4.88</v>
      </c>
      <c r="I212">
        <v>1.2</v>
      </c>
      <c r="J212">
        <v>3.68</v>
      </c>
      <c r="K212" t="str">
        <f t="shared" si="3"/>
        <v>VALID</v>
      </c>
    </row>
    <row r="213" spans="1:11" x14ac:dyDescent="0.3">
      <c r="A213" t="s">
        <v>82</v>
      </c>
      <c r="B213" t="s">
        <v>29</v>
      </c>
      <c r="C213" t="s">
        <v>25</v>
      </c>
      <c r="D213" t="s">
        <v>31</v>
      </c>
      <c r="E213" t="s">
        <v>23</v>
      </c>
      <c r="F213">
        <v>5891</v>
      </c>
      <c r="G213">
        <v>2601</v>
      </c>
      <c r="H213">
        <v>7.52</v>
      </c>
      <c r="I213">
        <v>2</v>
      </c>
      <c r="J213">
        <v>5.52</v>
      </c>
      <c r="K213" t="str">
        <f t="shared" si="3"/>
        <v>VALID</v>
      </c>
    </row>
    <row r="214" spans="1:11" x14ac:dyDescent="0.3">
      <c r="A214" t="s">
        <v>82</v>
      </c>
      <c r="B214" t="s">
        <v>29</v>
      </c>
      <c r="C214" t="s">
        <v>25</v>
      </c>
      <c r="D214" t="s">
        <v>31</v>
      </c>
      <c r="E214" t="s">
        <v>23</v>
      </c>
      <c r="F214">
        <v>5891</v>
      </c>
      <c r="G214">
        <v>2601</v>
      </c>
      <c r="H214">
        <v>7.52</v>
      </c>
      <c r="I214">
        <v>2</v>
      </c>
      <c r="J214">
        <v>5.52</v>
      </c>
      <c r="K214" t="str">
        <f t="shared" si="3"/>
        <v>VALID</v>
      </c>
    </row>
    <row r="215" spans="1:11" x14ac:dyDescent="0.3">
      <c r="A215" t="s">
        <v>82</v>
      </c>
      <c r="B215" t="s">
        <v>29</v>
      </c>
      <c r="C215" t="s">
        <v>25</v>
      </c>
      <c r="D215" t="s">
        <v>31</v>
      </c>
      <c r="E215" t="s">
        <v>23</v>
      </c>
      <c r="F215">
        <v>5891</v>
      </c>
      <c r="G215">
        <v>2601</v>
      </c>
      <c r="H215">
        <v>7.52</v>
      </c>
      <c r="I215">
        <v>2</v>
      </c>
      <c r="J215">
        <v>5.52</v>
      </c>
      <c r="K215" t="str">
        <f t="shared" si="3"/>
        <v>VALID</v>
      </c>
    </row>
    <row r="216" spans="1:11" x14ac:dyDescent="0.3">
      <c r="A216" t="s">
        <v>62</v>
      </c>
      <c r="B216" t="s">
        <v>20</v>
      </c>
      <c r="C216" t="s">
        <v>30</v>
      </c>
      <c r="D216" t="s">
        <v>26</v>
      </c>
      <c r="E216" t="s">
        <v>23</v>
      </c>
      <c r="F216">
        <v>6813</v>
      </c>
      <c r="G216">
        <v>1589</v>
      </c>
      <c r="H216">
        <v>6.28</v>
      </c>
      <c r="I216">
        <v>0.86</v>
      </c>
      <c r="J216">
        <v>5.42</v>
      </c>
      <c r="K216" t="str">
        <f t="shared" si="3"/>
        <v>VALID</v>
      </c>
    </row>
    <row r="217" spans="1:11" x14ac:dyDescent="0.3">
      <c r="A217" t="s">
        <v>62</v>
      </c>
      <c r="B217" t="s">
        <v>20</v>
      </c>
      <c r="C217" t="s">
        <v>30</v>
      </c>
      <c r="D217" t="s">
        <v>26</v>
      </c>
      <c r="E217" t="s">
        <v>23</v>
      </c>
      <c r="F217">
        <v>6813</v>
      </c>
      <c r="G217">
        <v>1589</v>
      </c>
      <c r="H217">
        <v>6.28</v>
      </c>
      <c r="I217">
        <v>0.86</v>
      </c>
      <c r="J217">
        <v>5.42</v>
      </c>
      <c r="K217" t="str">
        <f t="shared" si="3"/>
        <v>VALID</v>
      </c>
    </row>
    <row r="218" spans="1:11" x14ac:dyDescent="0.3">
      <c r="A218" t="s">
        <v>38</v>
      </c>
      <c r="B218" t="s">
        <v>20</v>
      </c>
      <c r="C218" t="s">
        <v>25</v>
      </c>
      <c r="D218" t="s">
        <v>26</v>
      </c>
      <c r="E218" t="s">
        <v>23</v>
      </c>
      <c r="F218">
        <v>6864</v>
      </c>
      <c r="G218">
        <v>455</v>
      </c>
      <c r="H218">
        <v>8.11</v>
      </c>
      <c r="I218">
        <v>1.58</v>
      </c>
      <c r="J218">
        <v>6.53</v>
      </c>
      <c r="K218" t="str">
        <f t="shared" si="3"/>
        <v>VALID</v>
      </c>
    </row>
    <row r="219" spans="1:11" x14ac:dyDescent="0.3">
      <c r="A219" t="s">
        <v>38</v>
      </c>
      <c r="B219" t="s">
        <v>20</v>
      </c>
      <c r="C219" t="s">
        <v>25</v>
      </c>
      <c r="D219" t="s">
        <v>26</v>
      </c>
      <c r="E219" t="s">
        <v>23</v>
      </c>
      <c r="F219">
        <v>6864</v>
      </c>
      <c r="G219">
        <v>455</v>
      </c>
      <c r="H219">
        <v>8.11</v>
      </c>
      <c r="I219">
        <v>1.58</v>
      </c>
      <c r="J219">
        <v>6.53</v>
      </c>
      <c r="K219" t="str">
        <f t="shared" si="3"/>
        <v>VALID</v>
      </c>
    </row>
    <row r="220" spans="1:11" x14ac:dyDescent="0.3">
      <c r="A220" t="s">
        <v>38</v>
      </c>
      <c r="B220" t="s">
        <v>34</v>
      </c>
      <c r="C220" t="s">
        <v>30</v>
      </c>
      <c r="D220" t="s">
        <v>22</v>
      </c>
      <c r="E220" t="s">
        <v>27</v>
      </c>
      <c r="F220">
        <v>7832</v>
      </c>
      <c r="G220">
        <v>6630</v>
      </c>
      <c r="H220">
        <v>6.29</v>
      </c>
      <c r="I220">
        <v>1.53</v>
      </c>
      <c r="J220">
        <v>4.76</v>
      </c>
      <c r="K220" t="str">
        <f t="shared" si="3"/>
        <v>VALID</v>
      </c>
    </row>
    <row r="221" spans="1:11" x14ac:dyDescent="0.3">
      <c r="A221" t="s">
        <v>38</v>
      </c>
      <c r="B221" t="s">
        <v>29</v>
      </c>
      <c r="C221" t="s">
        <v>21</v>
      </c>
      <c r="D221" t="s">
        <v>26</v>
      </c>
      <c r="E221" t="s">
        <v>32</v>
      </c>
      <c r="F221">
        <v>4816</v>
      </c>
      <c r="G221">
        <v>1936</v>
      </c>
      <c r="H221">
        <v>8.69</v>
      </c>
      <c r="I221">
        <v>1.75</v>
      </c>
      <c r="J221">
        <v>6.94</v>
      </c>
      <c r="K221" t="str">
        <f t="shared" si="3"/>
        <v>VALID</v>
      </c>
    </row>
    <row r="222" spans="1:11" x14ac:dyDescent="0.3">
      <c r="A222" t="s">
        <v>38</v>
      </c>
      <c r="B222" t="s">
        <v>20</v>
      </c>
      <c r="C222" t="s">
        <v>25</v>
      </c>
      <c r="D222" t="s">
        <v>26</v>
      </c>
      <c r="E222" t="s">
        <v>23</v>
      </c>
      <c r="F222">
        <v>6864</v>
      </c>
      <c r="G222">
        <v>455</v>
      </c>
      <c r="H222">
        <v>8.11</v>
      </c>
      <c r="I222">
        <v>1.58</v>
      </c>
      <c r="J222">
        <v>6.53</v>
      </c>
      <c r="K222" t="str">
        <f t="shared" si="3"/>
        <v>VALID</v>
      </c>
    </row>
    <row r="223" spans="1:11" x14ac:dyDescent="0.3">
      <c r="A223" t="s">
        <v>73</v>
      </c>
      <c r="B223" t="s">
        <v>20</v>
      </c>
      <c r="C223" t="s">
        <v>25</v>
      </c>
      <c r="D223" t="s">
        <v>26</v>
      </c>
      <c r="E223" t="s">
        <v>23</v>
      </c>
      <c r="F223">
        <v>3975</v>
      </c>
      <c r="G223">
        <v>715</v>
      </c>
      <c r="H223">
        <v>5.37</v>
      </c>
      <c r="I223">
        <v>0.45</v>
      </c>
      <c r="J223">
        <v>4.92</v>
      </c>
      <c r="K223" t="str">
        <f t="shared" si="3"/>
        <v>VALID</v>
      </c>
    </row>
    <row r="224" spans="1:11" x14ac:dyDescent="0.3">
      <c r="A224" t="s">
        <v>73</v>
      </c>
      <c r="B224" t="s">
        <v>20</v>
      </c>
      <c r="C224" t="s">
        <v>25</v>
      </c>
      <c r="D224" t="s">
        <v>26</v>
      </c>
      <c r="E224" t="s">
        <v>23</v>
      </c>
      <c r="F224">
        <v>3975</v>
      </c>
      <c r="G224">
        <v>715</v>
      </c>
      <c r="H224">
        <v>5.37</v>
      </c>
      <c r="I224">
        <v>0.45</v>
      </c>
      <c r="J224">
        <v>4.92</v>
      </c>
      <c r="K224" t="str">
        <f t="shared" si="3"/>
        <v>VALID</v>
      </c>
    </row>
    <row r="225" spans="1:11" x14ac:dyDescent="0.3">
      <c r="A225" t="s">
        <v>73</v>
      </c>
      <c r="B225" t="s">
        <v>29</v>
      </c>
      <c r="C225" t="s">
        <v>21</v>
      </c>
      <c r="D225" t="s">
        <v>22</v>
      </c>
      <c r="E225" t="s">
        <v>27</v>
      </c>
      <c r="F225">
        <v>8555</v>
      </c>
      <c r="G225">
        <v>4093</v>
      </c>
      <c r="H225">
        <v>8.85</v>
      </c>
      <c r="I225">
        <v>0.72</v>
      </c>
      <c r="J225">
        <v>8.1300000000000008</v>
      </c>
      <c r="K225" t="str">
        <f t="shared" si="3"/>
        <v>VALID</v>
      </c>
    </row>
    <row r="226" spans="1:11" x14ac:dyDescent="0.3">
      <c r="A226" t="s">
        <v>73</v>
      </c>
      <c r="B226" t="s">
        <v>29</v>
      </c>
      <c r="C226" t="s">
        <v>21</v>
      </c>
      <c r="D226" t="s">
        <v>22</v>
      </c>
      <c r="E226" t="s">
        <v>27</v>
      </c>
      <c r="F226">
        <v>8555</v>
      </c>
      <c r="G226">
        <v>4093</v>
      </c>
      <c r="H226">
        <v>8.85</v>
      </c>
      <c r="I226">
        <v>0.72</v>
      </c>
      <c r="J226">
        <v>8.1300000000000008</v>
      </c>
      <c r="K226" t="str">
        <f t="shared" si="3"/>
        <v>VALID</v>
      </c>
    </row>
    <row r="227" spans="1:11" x14ac:dyDescent="0.3">
      <c r="A227" t="s">
        <v>60</v>
      </c>
      <c r="B227" t="s">
        <v>20</v>
      </c>
      <c r="C227" t="s">
        <v>21</v>
      </c>
      <c r="D227" t="s">
        <v>26</v>
      </c>
      <c r="E227" t="s">
        <v>23</v>
      </c>
      <c r="F227">
        <v>4148</v>
      </c>
      <c r="G227">
        <v>611</v>
      </c>
      <c r="H227">
        <v>9.7200000000000006</v>
      </c>
      <c r="I227">
        <v>0.26</v>
      </c>
      <c r="J227">
        <v>9.4600000000000009</v>
      </c>
      <c r="K227" t="str">
        <f t="shared" si="3"/>
        <v>VALID</v>
      </c>
    </row>
    <row r="228" spans="1:11" x14ac:dyDescent="0.3">
      <c r="A228" t="s">
        <v>60</v>
      </c>
      <c r="B228" t="s">
        <v>20</v>
      </c>
      <c r="C228" t="s">
        <v>21</v>
      </c>
      <c r="D228" t="s">
        <v>31</v>
      </c>
      <c r="E228" t="s">
        <v>23</v>
      </c>
      <c r="F228">
        <v>1176</v>
      </c>
      <c r="G228">
        <v>2166</v>
      </c>
      <c r="H228">
        <v>6.88</v>
      </c>
      <c r="I228">
        <v>0.91</v>
      </c>
      <c r="J228">
        <v>5.97</v>
      </c>
      <c r="K228" t="str">
        <f t="shared" si="3"/>
        <v>VALID</v>
      </c>
    </row>
    <row r="229" spans="1:11" x14ac:dyDescent="0.3">
      <c r="A229" t="s">
        <v>60</v>
      </c>
      <c r="B229" t="s">
        <v>34</v>
      </c>
      <c r="C229" t="s">
        <v>21</v>
      </c>
      <c r="D229" t="s">
        <v>26</v>
      </c>
      <c r="E229" t="s">
        <v>27</v>
      </c>
      <c r="F229">
        <v>7515</v>
      </c>
      <c r="G229">
        <v>6694</v>
      </c>
      <c r="H229">
        <v>9.9600000000000009</v>
      </c>
      <c r="I229">
        <v>0.57999999999999996</v>
      </c>
      <c r="J229">
        <v>9.3800000000000008</v>
      </c>
      <c r="K229" t="str">
        <f t="shared" si="3"/>
        <v>VALID</v>
      </c>
    </row>
    <row r="230" spans="1:11" x14ac:dyDescent="0.3">
      <c r="A230" t="s">
        <v>79</v>
      </c>
      <c r="B230" t="s">
        <v>29</v>
      </c>
      <c r="C230" t="s">
        <v>30</v>
      </c>
      <c r="D230" t="s">
        <v>22</v>
      </c>
      <c r="E230" t="s">
        <v>23</v>
      </c>
      <c r="F230">
        <v>8083</v>
      </c>
      <c r="G230">
        <v>3127</v>
      </c>
      <c r="H230">
        <v>9.2799999999999994</v>
      </c>
      <c r="I230">
        <v>1.96</v>
      </c>
      <c r="J230">
        <v>7.32</v>
      </c>
      <c r="K230" t="str">
        <f t="shared" si="3"/>
        <v>VALID</v>
      </c>
    </row>
    <row r="231" spans="1:11" x14ac:dyDescent="0.3">
      <c r="A231" t="s">
        <v>79</v>
      </c>
      <c r="B231" t="s">
        <v>29</v>
      </c>
      <c r="C231" t="s">
        <v>25</v>
      </c>
      <c r="D231" t="s">
        <v>22</v>
      </c>
      <c r="E231" t="s">
        <v>27</v>
      </c>
      <c r="F231">
        <v>5632</v>
      </c>
      <c r="G231">
        <v>3558</v>
      </c>
      <c r="H231">
        <v>9.18</v>
      </c>
      <c r="I231">
        <v>1.72</v>
      </c>
      <c r="J231">
        <v>7.46</v>
      </c>
      <c r="K231" t="str">
        <f t="shared" si="3"/>
        <v>VALID</v>
      </c>
    </row>
    <row r="232" spans="1:11" x14ac:dyDescent="0.3">
      <c r="A232" t="s">
        <v>60</v>
      </c>
      <c r="B232" t="s">
        <v>29</v>
      </c>
      <c r="C232" t="s">
        <v>25</v>
      </c>
      <c r="D232" t="s">
        <v>22</v>
      </c>
      <c r="E232" t="s">
        <v>27</v>
      </c>
      <c r="F232">
        <v>3022</v>
      </c>
      <c r="G232">
        <v>2413</v>
      </c>
      <c r="H232">
        <v>5.17</v>
      </c>
      <c r="I232">
        <v>0.24</v>
      </c>
      <c r="J232">
        <v>4.93</v>
      </c>
      <c r="K232" t="str">
        <f t="shared" si="3"/>
        <v>VALID</v>
      </c>
    </row>
    <row r="233" spans="1:11" x14ac:dyDescent="0.3">
      <c r="A233" t="s">
        <v>101</v>
      </c>
      <c r="B233" t="s">
        <v>20</v>
      </c>
      <c r="C233" t="s">
        <v>21</v>
      </c>
      <c r="D233" t="s">
        <v>22</v>
      </c>
      <c r="E233" t="s">
        <v>27</v>
      </c>
      <c r="F233">
        <v>665</v>
      </c>
      <c r="G233">
        <v>1955</v>
      </c>
      <c r="H233">
        <v>4.79</v>
      </c>
      <c r="I233">
        <v>0.49</v>
      </c>
      <c r="J233">
        <v>4.3</v>
      </c>
      <c r="K233" t="str">
        <f t="shared" si="3"/>
        <v>VALID</v>
      </c>
    </row>
    <row r="234" spans="1:11" x14ac:dyDescent="0.3">
      <c r="A234" t="s">
        <v>100</v>
      </c>
      <c r="B234" t="s">
        <v>29</v>
      </c>
      <c r="C234" t="s">
        <v>30</v>
      </c>
      <c r="D234" t="s">
        <v>22</v>
      </c>
      <c r="E234" t="s">
        <v>23</v>
      </c>
      <c r="F234">
        <v>8259</v>
      </c>
      <c r="G234">
        <v>4855</v>
      </c>
      <c r="H234">
        <v>4.7</v>
      </c>
      <c r="I234">
        <v>0.02</v>
      </c>
      <c r="J234">
        <v>4.68</v>
      </c>
      <c r="K234" t="str">
        <f t="shared" si="3"/>
        <v>VALID</v>
      </c>
    </row>
    <row r="235" spans="1:11" x14ac:dyDescent="0.3">
      <c r="A235" t="s">
        <v>100</v>
      </c>
      <c r="B235" t="s">
        <v>29</v>
      </c>
      <c r="C235" t="s">
        <v>21</v>
      </c>
      <c r="D235" t="s">
        <v>22</v>
      </c>
      <c r="E235" t="s">
        <v>27</v>
      </c>
      <c r="F235">
        <v>8357</v>
      </c>
      <c r="G235">
        <v>5548</v>
      </c>
      <c r="H235">
        <v>7.02</v>
      </c>
      <c r="I235">
        <v>1</v>
      </c>
      <c r="J235">
        <v>6.02</v>
      </c>
      <c r="K235" t="str">
        <f t="shared" si="3"/>
        <v>VALID</v>
      </c>
    </row>
    <row r="236" spans="1:11" x14ac:dyDescent="0.3">
      <c r="A236" t="s">
        <v>79</v>
      </c>
      <c r="C236" t="s">
        <v>30</v>
      </c>
      <c r="D236" t="s">
        <v>22</v>
      </c>
      <c r="E236" t="s">
        <v>23</v>
      </c>
      <c r="F236">
        <v>8083</v>
      </c>
      <c r="G236">
        <v>3127</v>
      </c>
      <c r="H236">
        <v>9.2799999999999994</v>
      </c>
      <c r="I236">
        <v>1.96</v>
      </c>
      <c r="J236">
        <v>7.32</v>
      </c>
      <c r="K236" t="str">
        <f t="shared" si="3"/>
        <v>VALID</v>
      </c>
    </row>
    <row r="237" spans="1:11" x14ac:dyDescent="0.3">
      <c r="A237" t="s">
        <v>79</v>
      </c>
      <c r="B237" t="s">
        <v>29</v>
      </c>
      <c r="C237" t="s">
        <v>25</v>
      </c>
      <c r="D237" t="s">
        <v>22</v>
      </c>
      <c r="E237" t="s">
        <v>27</v>
      </c>
      <c r="F237">
        <v>5632</v>
      </c>
      <c r="G237">
        <v>3558</v>
      </c>
      <c r="H237">
        <v>9.18</v>
      </c>
      <c r="I237">
        <v>1.72</v>
      </c>
      <c r="J237">
        <v>7.46</v>
      </c>
      <c r="K237" t="str">
        <f t="shared" si="3"/>
        <v>VALID</v>
      </c>
    </row>
    <row r="238" spans="1:11" x14ac:dyDescent="0.3">
      <c r="A238" t="s">
        <v>44</v>
      </c>
      <c r="B238" t="s">
        <v>20</v>
      </c>
      <c r="C238" t="s">
        <v>25</v>
      </c>
      <c r="D238" t="s">
        <v>26</v>
      </c>
      <c r="E238" t="s">
        <v>23</v>
      </c>
      <c r="F238">
        <v>6492</v>
      </c>
      <c r="G238">
        <v>3242</v>
      </c>
      <c r="H238">
        <v>9.83</v>
      </c>
      <c r="I238">
        <v>1.76</v>
      </c>
      <c r="J238">
        <v>8.07</v>
      </c>
      <c r="K238" t="str">
        <f t="shared" si="3"/>
        <v>VALID</v>
      </c>
    </row>
    <row r="239" spans="1:11" x14ac:dyDescent="0.3">
      <c r="A239" t="s">
        <v>44</v>
      </c>
      <c r="B239" t="s">
        <v>20</v>
      </c>
      <c r="C239" t="s">
        <v>25</v>
      </c>
      <c r="D239" t="s">
        <v>26</v>
      </c>
      <c r="E239" t="s">
        <v>23</v>
      </c>
      <c r="F239">
        <v>6492</v>
      </c>
      <c r="G239">
        <v>3242</v>
      </c>
      <c r="H239">
        <v>9.83</v>
      </c>
      <c r="I239">
        <v>1.76</v>
      </c>
      <c r="J239">
        <v>8.07</v>
      </c>
      <c r="K239" t="str">
        <f t="shared" si="3"/>
        <v>VALID</v>
      </c>
    </row>
    <row r="240" spans="1:11" x14ac:dyDescent="0.3">
      <c r="A240" t="s">
        <v>37</v>
      </c>
      <c r="B240" t="s">
        <v>20</v>
      </c>
      <c r="C240" t="s">
        <v>30</v>
      </c>
      <c r="D240" t="s">
        <v>26</v>
      </c>
      <c r="E240" t="s">
        <v>27</v>
      </c>
      <c r="F240">
        <v>716</v>
      </c>
      <c r="G240">
        <v>3026</v>
      </c>
      <c r="H240">
        <v>9.6199999999999992</v>
      </c>
      <c r="I240">
        <v>0.9</v>
      </c>
      <c r="J240">
        <v>8.7200000000000006</v>
      </c>
      <c r="K240" t="str">
        <f t="shared" si="3"/>
        <v>VALID</v>
      </c>
    </row>
    <row r="241" spans="1:11" x14ac:dyDescent="0.3">
      <c r="A241" t="s">
        <v>44</v>
      </c>
      <c r="B241" t="s">
        <v>20</v>
      </c>
      <c r="C241" t="s">
        <v>25</v>
      </c>
      <c r="D241" t="s">
        <v>26</v>
      </c>
      <c r="E241" t="s">
        <v>23</v>
      </c>
      <c r="F241">
        <v>6492</v>
      </c>
      <c r="G241">
        <v>3242</v>
      </c>
      <c r="H241">
        <v>9.83</v>
      </c>
      <c r="I241">
        <v>1.76</v>
      </c>
      <c r="J241">
        <v>8.07</v>
      </c>
      <c r="K241" t="str">
        <f t="shared" si="3"/>
        <v>VALID</v>
      </c>
    </row>
    <row r="242" spans="1:11" x14ac:dyDescent="0.3">
      <c r="A242" t="s">
        <v>44</v>
      </c>
      <c r="B242" t="s">
        <v>29</v>
      </c>
      <c r="C242" t="s">
        <v>30</v>
      </c>
      <c r="D242" t="s">
        <v>26</v>
      </c>
      <c r="E242" t="s">
        <v>23</v>
      </c>
      <c r="F242">
        <v>7595</v>
      </c>
      <c r="G242">
        <v>6414</v>
      </c>
      <c r="H242">
        <v>6.28</v>
      </c>
      <c r="I242">
        <v>1.55</v>
      </c>
      <c r="J242">
        <v>4.7300000000000004</v>
      </c>
      <c r="K242" t="str">
        <f t="shared" si="3"/>
        <v>VALID</v>
      </c>
    </row>
    <row r="243" spans="1:11" x14ac:dyDescent="0.3">
      <c r="A243" t="s">
        <v>44</v>
      </c>
      <c r="B243" t="s">
        <v>20</v>
      </c>
      <c r="C243" t="s">
        <v>25</v>
      </c>
      <c r="D243" t="s">
        <v>26</v>
      </c>
      <c r="E243" t="s">
        <v>23</v>
      </c>
      <c r="F243">
        <v>6492</v>
      </c>
      <c r="G243">
        <v>3242</v>
      </c>
      <c r="H243">
        <v>9.83</v>
      </c>
      <c r="I243">
        <v>1.76</v>
      </c>
      <c r="J243">
        <v>8.07</v>
      </c>
      <c r="K243" t="str">
        <f t="shared" si="3"/>
        <v>VALID</v>
      </c>
    </row>
    <row r="244" spans="1:11" x14ac:dyDescent="0.3">
      <c r="A244" t="s">
        <v>77</v>
      </c>
      <c r="B244" t="s">
        <v>20</v>
      </c>
      <c r="C244" t="s">
        <v>25</v>
      </c>
      <c r="D244" t="s">
        <v>22</v>
      </c>
      <c r="E244" t="s">
        <v>27</v>
      </c>
      <c r="F244">
        <v>5176</v>
      </c>
      <c r="G244">
        <v>1738</v>
      </c>
      <c r="H244">
        <v>4.4400000000000004</v>
      </c>
      <c r="I244">
        <v>1.3</v>
      </c>
      <c r="J244">
        <v>3.14</v>
      </c>
      <c r="K244" t="str">
        <f t="shared" si="3"/>
        <v>VALID</v>
      </c>
    </row>
    <row r="245" spans="1:11" x14ac:dyDescent="0.3">
      <c r="A245" t="s">
        <v>77</v>
      </c>
      <c r="B245" t="s">
        <v>20</v>
      </c>
      <c r="C245" t="s">
        <v>25</v>
      </c>
      <c r="D245" t="s">
        <v>22</v>
      </c>
      <c r="E245" t="s">
        <v>27</v>
      </c>
      <c r="F245">
        <v>5176</v>
      </c>
      <c r="G245">
        <v>1738</v>
      </c>
      <c r="H245">
        <v>4.4400000000000004</v>
      </c>
      <c r="I245">
        <v>1.3</v>
      </c>
      <c r="J245">
        <v>3.14</v>
      </c>
      <c r="K245" t="str">
        <f t="shared" si="3"/>
        <v>VALID</v>
      </c>
    </row>
    <row r="246" spans="1:11" x14ac:dyDescent="0.3">
      <c r="A246" t="s">
        <v>77</v>
      </c>
      <c r="B246" t="s">
        <v>20</v>
      </c>
      <c r="C246" t="s">
        <v>25</v>
      </c>
      <c r="D246" t="s">
        <v>22</v>
      </c>
      <c r="E246" t="s">
        <v>27</v>
      </c>
      <c r="F246">
        <v>5176</v>
      </c>
      <c r="G246">
        <v>1738</v>
      </c>
      <c r="H246">
        <v>4.4400000000000004</v>
      </c>
      <c r="I246">
        <v>1.3</v>
      </c>
      <c r="J246">
        <v>3.14</v>
      </c>
      <c r="K246" t="str">
        <f t="shared" si="3"/>
        <v>VALID</v>
      </c>
    </row>
    <row r="247" spans="1:11" x14ac:dyDescent="0.3">
      <c r="A247" t="s">
        <v>48</v>
      </c>
      <c r="B247" t="s">
        <v>29</v>
      </c>
      <c r="C247" t="s">
        <v>21</v>
      </c>
      <c r="D247" t="s">
        <v>22</v>
      </c>
      <c r="E247" t="s">
        <v>23</v>
      </c>
      <c r="F247">
        <v>1519</v>
      </c>
      <c r="G247">
        <v>4303</v>
      </c>
      <c r="H247">
        <v>4.2699999999999996</v>
      </c>
      <c r="I247">
        <v>1.55</v>
      </c>
      <c r="J247">
        <v>2.72</v>
      </c>
      <c r="K247" t="str">
        <f t="shared" si="3"/>
        <v>VALID</v>
      </c>
    </row>
    <row r="248" spans="1:11" x14ac:dyDescent="0.3">
      <c r="A248" t="s">
        <v>48</v>
      </c>
      <c r="B248" t="s">
        <v>29</v>
      </c>
      <c r="C248" t="s">
        <v>21</v>
      </c>
      <c r="D248" t="s">
        <v>22</v>
      </c>
      <c r="E248" t="s">
        <v>23</v>
      </c>
      <c r="F248">
        <v>1519</v>
      </c>
      <c r="G248">
        <v>4303</v>
      </c>
      <c r="H248">
        <v>4.2699999999999996</v>
      </c>
      <c r="I248">
        <v>1.55</v>
      </c>
      <c r="J248">
        <v>2.72</v>
      </c>
      <c r="K248" t="str">
        <f t="shared" si="3"/>
        <v>VALID</v>
      </c>
    </row>
    <row r="249" spans="1:11" x14ac:dyDescent="0.3">
      <c r="A249" t="s">
        <v>98</v>
      </c>
      <c r="B249" t="s">
        <v>34</v>
      </c>
      <c r="C249" t="s">
        <v>30</v>
      </c>
      <c r="D249" t="s">
        <v>26</v>
      </c>
      <c r="E249" t="s">
        <v>32</v>
      </c>
      <c r="F249">
        <v>5957</v>
      </c>
      <c r="G249">
        <v>6422</v>
      </c>
      <c r="H249">
        <v>6.14</v>
      </c>
      <c r="I249">
        <v>0.99</v>
      </c>
      <c r="J249">
        <v>5.15</v>
      </c>
      <c r="K249" t="str">
        <f t="shared" si="3"/>
        <v>VALID</v>
      </c>
    </row>
    <row r="250" spans="1:11" x14ac:dyDescent="0.3">
      <c r="A250" t="s">
        <v>99</v>
      </c>
      <c r="B250" t="s">
        <v>34</v>
      </c>
      <c r="C250" t="s">
        <v>21</v>
      </c>
      <c r="D250" t="s">
        <v>22</v>
      </c>
      <c r="E250" t="s">
        <v>27</v>
      </c>
      <c r="F250">
        <v>6914</v>
      </c>
      <c r="G250">
        <v>1103</v>
      </c>
      <c r="H250">
        <v>4.28</v>
      </c>
      <c r="I250">
        <v>0.13</v>
      </c>
      <c r="J250">
        <v>4.1500000000000004</v>
      </c>
      <c r="K250" t="str">
        <f t="shared" si="3"/>
        <v>VALID</v>
      </c>
    </row>
    <row r="251" spans="1:11" x14ac:dyDescent="0.3">
      <c r="A251" t="s">
        <v>55</v>
      </c>
      <c r="B251" t="s">
        <v>34</v>
      </c>
      <c r="C251" t="s">
        <v>30</v>
      </c>
      <c r="D251" t="s">
        <v>22</v>
      </c>
      <c r="E251" t="s">
        <v>23</v>
      </c>
      <c r="F251">
        <v>2153</v>
      </c>
      <c r="G251">
        <v>3813</v>
      </c>
      <c r="H251">
        <v>7.1</v>
      </c>
      <c r="I251">
        <v>0.23</v>
      </c>
      <c r="J251">
        <v>6.87</v>
      </c>
      <c r="K251" t="str">
        <f t="shared" si="3"/>
        <v>VALID</v>
      </c>
    </row>
    <row r="252" spans="1:11" x14ac:dyDescent="0.3">
      <c r="A252" t="s">
        <v>55</v>
      </c>
      <c r="B252" t="s">
        <v>34</v>
      </c>
      <c r="C252" t="s">
        <v>30</v>
      </c>
      <c r="D252" t="s">
        <v>22</v>
      </c>
      <c r="E252" t="s">
        <v>23</v>
      </c>
      <c r="F252">
        <v>2153</v>
      </c>
      <c r="G252">
        <v>3813</v>
      </c>
      <c r="H252">
        <v>7.1</v>
      </c>
      <c r="I252">
        <v>0.23</v>
      </c>
      <c r="J252">
        <v>6.87</v>
      </c>
      <c r="K252" t="str">
        <f t="shared" si="3"/>
        <v>VALID</v>
      </c>
    </row>
    <row r="253" spans="1:11" x14ac:dyDescent="0.3">
      <c r="A253" t="s">
        <v>55</v>
      </c>
      <c r="B253" t="s">
        <v>34</v>
      </c>
      <c r="C253" t="s">
        <v>30</v>
      </c>
      <c r="D253" t="s">
        <v>22</v>
      </c>
      <c r="E253" t="s">
        <v>23</v>
      </c>
      <c r="F253">
        <v>2153</v>
      </c>
      <c r="G253">
        <v>3813</v>
      </c>
      <c r="H253">
        <v>7.1</v>
      </c>
      <c r="I253">
        <v>0.23</v>
      </c>
      <c r="J253">
        <v>6.87</v>
      </c>
      <c r="K253" t="str">
        <f t="shared" si="3"/>
        <v>VALID</v>
      </c>
    </row>
    <row r="254" spans="1:11" x14ac:dyDescent="0.3">
      <c r="A254" t="s">
        <v>55</v>
      </c>
      <c r="B254" t="s">
        <v>29</v>
      </c>
      <c r="C254" t="s">
        <v>21</v>
      </c>
      <c r="D254" t="s">
        <v>31</v>
      </c>
      <c r="E254" t="s">
        <v>27</v>
      </c>
      <c r="F254">
        <v>2254</v>
      </c>
      <c r="G254">
        <v>4051</v>
      </c>
      <c r="H254">
        <v>4.03</v>
      </c>
      <c r="I254">
        <v>1.25</v>
      </c>
      <c r="J254">
        <v>2.78</v>
      </c>
      <c r="K254" t="str">
        <f t="shared" si="3"/>
        <v>VALID</v>
      </c>
    </row>
    <row r="255" spans="1:11" x14ac:dyDescent="0.3">
      <c r="A255" t="s">
        <v>55</v>
      </c>
      <c r="B255" t="s">
        <v>29</v>
      </c>
      <c r="C255" t="s">
        <v>21</v>
      </c>
      <c r="D255" t="s">
        <v>31</v>
      </c>
      <c r="E255" t="s">
        <v>27</v>
      </c>
      <c r="F255">
        <v>2254</v>
      </c>
      <c r="G255">
        <v>4051</v>
      </c>
      <c r="H255">
        <v>4.03</v>
      </c>
      <c r="I255">
        <v>1.25</v>
      </c>
      <c r="J255">
        <v>2.78</v>
      </c>
      <c r="K255" t="str">
        <f t="shared" si="3"/>
        <v>VALID</v>
      </c>
    </row>
    <row r="256" spans="1:11" x14ac:dyDescent="0.3">
      <c r="A256" t="s">
        <v>55</v>
      </c>
      <c r="B256" t="s">
        <v>20</v>
      </c>
      <c r="C256" t="s">
        <v>25</v>
      </c>
      <c r="D256" t="s">
        <v>22</v>
      </c>
      <c r="E256" t="s">
        <v>23</v>
      </c>
      <c r="F256">
        <v>5965</v>
      </c>
      <c r="G256">
        <v>2763</v>
      </c>
      <c r="H256">
        <v>5.42</v>
      </c>
      <c r="I256">
        <v>0.97</v>
      </c>
      <c r="J256">
        <v>4.45</v>
      </c>
      <c r="K256" t="str">
        <f t="shared" si="3"/>
        <v>VALID</v>
      </c>
    </row>
    <row r="257" spans="1:11" x14ac:dyDescent="0.3">
      <c r="A257" t="s">
        <v>91</v>
      </c>
      <c r="B257" t="s">
        <v>34</v>
      </c>
      <c r="C257" t="s">
        <v>30</v>
      </c>
      <c r="D257" t="s">
        <v>22</v>
      </c>
      <c r="E257" t="s">
        <v>27</v>
      </c>
      <c r="F257">
        <v>2184</v>
      </c>
      <c r="G257">
        <v>5949</v>
      </c>
      <c r="H257">
        <v>4.46</v>
      </c>
      <c r="I257">
        <v>0.72</v>
      </c>
      <c r="J257">
        <v>3.74</v>
      </c>
      <c r="K257" t="str">
        <f t="shared" si="3"/>
        <v>VALID</v>
      </c>
    </row>
    <row r="258" spans="1:11" x14ac:dyDescent="0.3">
      <c r="A258" t="s">
        <v>91</v>
      </c>
      <c r="B258" t="s">
        <v>34</v>
      </c>
      <c r="C258" t="s">
        <v>30</v>
      </c>
      <c r="D258" t="s">
        <v>22</v>
      </c>
      <c r="E258" t="s">
        <v>27</v>
      </c>
      <c r="F258">
        <v>2184</v>
      </c>
      <c r="G258">
        <v>5949</v>
      </c>
      <c r="H258">
        <v>4.46</v>
      </c>
      <c r="I258">
        <v>0.72</v>
      </c>
      <c r="J258">
        <v>3.74</v>
      </c>
      <c r="K258" t="str">
        <f t="shared" ref="K258:K301" si="4">IF(ISNUMBER(DATEVALUE(A258)),"VALID","INVALID")</f>
        <v>VALID</v>
      </c>
    </row>
    <row r="259" spans="1:11" x14ac:dyDescent="0.3">
      <c r="A259" t="s">
        <v>69</v>
      </c>
      <c r="B259" t="s">
        <v>29</v>
      </c>
      <c r="C259" t="s">
        <v>30</v>
      </c>
      <c r="D259" t="s">
        <v>22</v>
      </c>
      <c r="E259" t="s">
        <v>27</v>
      </c>
      <c r="F259">
        <v>8445</v>
      </c>
      <c r="G259">
        <v>1911</v>
      </c>
      <c r="H259">
        <v>8.48</v>
      </c>
      <c r="I259">
        <v>0.5</v>
      </c>
      <c r="J259">
        <v>7.98</v>
      </c>
      <c r="K259" t="str">
        <f t="shared" si="4"/>
        <v>VALID</v>
      </c>
    </row>
    <row r="260" spans="1:11" x14ac:dyDescent="0.3">
      <c r="A260" t="s">
        <v>69</v>
      </c>
      <c r="B260" t="s">
        <v>34</v>
      </c>
      <c r="C260" t="s">
        <v>21</v>
      </c>
      <c r="D260" t="s">
        <v>26</v>
      </c>
      <c r="E260" t="s">
        <v>27</v>
      </c>
      <c r="F260">
        <v>5428</v>
      </c>
      <c r="G260">
        <v>2019</v>
      </c>
      <c r="H260">
        <v>4.01</v>
      </c>
      <c r="I260">
        <v>0.55000000000000004</v>
      </c>
      <c r="J260">
        <v>3.46</v>
      </c>
      <c r="K260" t="str">
        <f t="shared" si="4"/>
        <v>VALID</v>
      </c>
    </row>
    <row r="261" spans="1:11" x14ac:dyDescent="0.3">
      <c r="A261" t="s">
        <v>91</v>
      </c>
      <c r="B261" t="s">
        <v>20</v>
      </c>
      <c r="C261" t="s">
        <v>30</v>
      </c>
      <c r="D261" t="s">
        <v>31</v>
      </c>
      <c r="E261" t="s">
        <v>23</v>
      </c>
      <c r="F261">
        <v>7218</v>
      </c>
      <c r="G261">
        <v>2694</v>
      </c>
      <c r="H261">
        <v>6.13</v>
      </c>
      <c r="I261">
        <v>1.37</v>
      </c>
      <c r="J261">
        <v>4.76</v>
      </c>
      <c r="K261" t="str">
        <f t="shared" si="4"/>
        <v>VALID</v>
      </c>
    </row>
    <row r="262" spans="1:11" x14ac:dyDescent="0.3">
      <c r="A262" t="s">
        <v>91</v>
      </c>
      <c r="B262" t="s">
        <v>20</v>
      </c>
      <c r="C262" t="s">
        <v>25</v>
      </c>
      <c r="D262" t="s">
        <v>26</v>
      </c>
      <c r="E262" t="s">
        <v>23</v>
      </c>
      <c r="F262">
        <v>4331</v>
      </c>
      <c r="G262">
        <v>5542</v>
      </c>
      <c r="H262">
        <v>5.32</v>
      </c>
      <c r="I262">
        <v>0.56000000000000005</v>
      </c>
      <c r="J262">
        <v>4.76</v>
      </c>
      <c r="K262" t="str">
        <f t="shared" si="4"/>
        <v>VALID</v>
      </c>
    </row>
    <row r="263" spans="1:11" x14ac:dyDescent="0.3">
      <c r="A263" t="s">
        <v>69</v>
      </c>
      <c r="B263" t="s">
        <v>34</v>
      </c>
      <c r="C263" t="s">
        <v>25</v>
      </c>
      <c r="D263" t="s">
        <v>26</v>
      </c>
      <c r="E263" t="s">
        <v>27</v>
      </c>
      <c r="F263">
        <v>8967</v>
      </c>
      <c r="G263">
        <v>6387</v>
      </c>
      <c r="H263">
        <v>9.07</v>
      </c>
      <c r="I263">
        <v>0.27</v>
      </c>
      <c r="J263">
        <v>8.8000000000000007</v>
      </c>
      <c r="K263" t="str">
        <f t="shared" si="4"/>
        <v>VALID</v>
      </c>
    </row>
    <row r="264" spans="1:11" x14ac:dyDescent="0.3">
      <c r="A264" t="s">
        <v>69</v>
      </c>
      <c r="B264" t="s">
        <v>34</v>
      </c>
      <c r="C264" t="s">
        <v>25</v>
      </c>
      <c r="D264" t="s">
        <v>31</v>
      </c>
      <c r="E264" t="s">
        <v>27</v>
      </c>
      <c r="F264">
        <v>8662</v>
      </c>
      <c r="G264">
        <v>3819</v>
      </c>
      <c r="H264">
        <v>8.57</v>
      </c>
      <c r="I264">
        <v>1.56</v>
      </c>
      <c r="J264">
        <v>7.01</v>
      </c>
      <c r="K264" t="str">
        <f t="shared" si="4"/>
        <v>VALID</v>
      </c>
    </row>
    <row r="265" spans="1:11" x14ac:dyDescent="0.3">
      <c r="A265" t="s">
        <v>69</v>
      </c>
      <c r="B265" t="s">
        <v>34</v>
      </c>
      <c r="C265" t="s">
        <v>25</v>
      </c>
      <c r="D265" t="s">
        <v>31</v>
      </c>
      <c r="E265" t="s">
        <v>27</v>
      </c>
      <c r="F265">
        <v>8662</v>
      </c>
      <c r="G265">
        <v>3819</v>
      </c>
      <c r="H265">
        <v>8.57</v>
      </c>
      <c r="I265">
        <v>1.56</v>
      </c>
      <c r="J265">
        <v>7.01</v>
      </c>
      <c r="K265" t="str">
        <f t="shared" si="4"/>
        <v>VALID</v>
      </c>
    </row>
    <row r="266" spans="1:11" x14ac:dyDescent="0.3">
      <c r="A266" t="s">
        <v>69</v>
      </c>
      <c r="B266" t="s">
        <v>29</v>
      </c>
      <c r="C266" t="s">
        <v>30</v>
      </c>
      <c r="D266" t="s">
        <v>22</v>
      </c>
      <c r="E266" t="s">
        <v>27</v>
      </c>
      <c r="F266">
        <v>8445</v>
      </c>
      <c r="G266">
        <v>1911</v>
      </c>
      <c r="H266">
        <v>8.48</v>
      </c>
      <c r="I266">
        <v>0.5</v>
      </c>
      <c r="J266">
        <v>7.98</v>
      </c>
      <c r="K266" t="str">
        <f t="shared" si="4"/>
        <v>VALID</v>
      </c>
    </row>
    <row r="267" spans="1:11" x14ac:dyDescent="0.3">
      <c r="A267" t="s">
        <v>69</v>
      </c>
      <c r="B267" t="s">
        <v>34</v>
      </c>
      <c r="C267" t="s">
        <v>25</v>
      </c>
      <c r="D267" t="s">
        <v>31</v>
      </c>
      <c r="E267" t="s">
        <v>27</v>
      </c>
      <c r="F267">
        <v>8662</v>
      </c>
      <c r="G267">
        <v>3819</v>
      </c>
      <c r="H267">
        <v>8.57</v>
      </c>
      <c r="I267">
        <v>1.56</v>
      </c>
      <c r="J267">
        <v>7.01</v>
      </c>
      <c r="K267" t="str">
        <f t="shared" si="4"/>
        <v>VALID</v>
      </c>
    </row>
    <row r="268" spans="1:11" x14ac:dyDescent="0.3">
      <c r="A268" t="s">
        <v>69</v>
      </c>
      <c r="B268" t="s">
        <v>34</v>
      </c>
      <c r="C268" t="s">
        <v>21</v>
      </c>
      <c r="D268" t="s">
        <v>26</v>
      </c>
      <c r="E268" t="s">
        <v>27</v>
      </c>
      <c r="F268">
        <v>5428</v>
      </c>
      <c r="G268">
        <v>2019</v>
      </c>
      <c r="H268">
        <v>4.01</v>
      </c>
      <c r="I268">
        <v>0.55000000000000004</v>
      </c>
      <c r="J268">
        <v>3.46</v>
      </c>
      <c r="K268" t="str">
        <f t="shared" si="4"/>
        <v>VALID</v>
      </c>
    </row>
    <row r="269" spans="1:11" x14ac:dyDescent="0.3">
      <c r="A269" t="s">
        <v>43</v>
      </c>
      <c r="B269" t="s">
        <v>34</v>
      </c>
      <c r="C269" t="s">
        <v>30</v>
      </c>
      <c r="D269" t="s">
        <v>26</v>
      </c>
      <c r="E269" t="s">
        <v>27</v>
      </c>
      <c r="F269">
        <v>8012</v>
      </c>
      <c r="G269">
        <v>4446</v>
      </c>
      <c r="H269">
        <v>5.23</v>
      </c>
      <c r="I269">
        <v>1.77</v>
      </c>
      <c r="J269">
        <v>3.46</v>
      </c>
      <c r="K269" t="str">
        <f t="shared" si="4"/>
        <v>VALID</v>
      </c>
    </row>
    <row r="270" spans="1:11" x14ac:dyDescent="0.3">
      <c r="A270" t="s">
        <v>43</v>
      </c>
      <c r="B270" t="s">
        <v>34</v>
      </c>
      <c r="C270" t="s">
        <v>30</v>
      </c>
      <c r="D270" t="s">
        <v>26</v>
      </c>
      <c r="E270" t="s">
        <v>27</v>
      </c>
      <c r="F270">
        <v>8012</v>
      </c>
      <c r="G270">
        <v>4446</v>
      </c>
      <c r="H270">
        <v>5.23</v>
      </c>
      <c r="I270">
        <v>1.77</v>
      </c>
      <c r="J270">
        <v>3.46</v>
      </c>
      <c r="K270" t="str">
        <f t="shared" si="4"/>
        <v>VALID</v>
      </c>
    </row>
    <row r="271" spans="1:11" x14ac:dyDescent="0.3">
      <c r="A271" t="s">
        <v>89</v>
      </c>
      <c r="B271" t="s">
        <v>29</v>
      </c>
      <c r="C271" t="s">
        <v>21</v>
      </c>
      <c r="D271" t="s">
        <v>26</v>
      </c>
      <c r="E271" t="s">
        <v>23</v>
      </c>
      <c r="F271">
        <v>6156</v>
      </c>
      <c r="G271">
        <v>621</v>
      </c>
      <c r="H271">
        <v>9.0399999999999991</v>
      </c>
      <c r="I271">
        <v>0.55000000000000004</v>
      </c>
      <c r="J271">
        <v>8.49</v>
      </c>
      <c r="K271" t="str">
        <f t="shared" si="4"/>
        <v>VALID</v>
      </c>
    </row>
    <row r="272" spans="1:11" x14ac:dyDescent="0.3">
      <c r="A272" t="s">
        <v>89</v>
      </c>
      <c r="B272" t="s">
        <v>29</v>
      </c>
      <c r="C272" t="s">
        <v>21</v>
      </c>
      <c r="D272" t="s">
        <v>26</v>
      </c>
      <c r="E272" t="s">
        <v>23</v>
      </c>
      <c r="F272">
        <v>6156</v>
      </c>
      <c r="G272">
        <v>621</v>
      </c>
      <c r="H272">
        <v>9.0399999999999991</v>
      </c>
      <c r="I272">
        <v>0.55000000000000004</v>
      </c>
      <c r="J272">
        <v>8.49</v>
      </c>
      <c r="K272" t="str">
        <f t="shared" si="4"/>
        <v>VALID</v>
      </c>
    </row>
    <row r="273" spans="1:11" x14ac:dyDescent="0.3">
      <c r="A273" t="s">
        <v>89</v>
      </c>
      <c r="B273" t="s">
        <v>29</v>
      </c>
      <c r="C273" t="s">
        <v>21</v>
      </c>
      <c r="D273" t="s">
        <v>26</v>
      </c>
      <c r="E273" t="s">
        <v>23</v>
      </c>
      <c r="F273">
        <v>6156</v>
      </c>
      <c r="G273">
        <v>621</v>
      </c>
      <c r="H273">
        <v>9.0399999999999991</v>
      </c>
      <c r="I273">
        <v>0.55000000000000004</v>
      </c>
      <c r="J273">
        <v>8.49</v>
      </c>
      <c r="K273" t="str">
        <f t="shared" si="4"/>
        <v>VALID</v>
      </c>
    </row>
    <row r="274" spans="1:11" x14ac:dyDescent="0.3">
      <c r="A274" t="s">
        <v>89</v>
      </c>
      <c r="B274" t="s">
        <v>29</v>
      </c>
      <c r="C274" t="s">
        <v>21</v>
      </c>
      <c r="D274" t="s">
        <v>26</v>
      </c>
      <c r="E274" t="s">
        <v>23</v>
      </c>
      <c r="F274">
        <v>6156</v>
      </c>
      <c r="G274">
        <v>621</v>
      </c>
      <c r="H274">
        <v>9.0399999999999991</v>
      </c>
      <c r="I274">
        <v>0.55000000000000004</v>
      </c>
      <c r="J274">
        <v>8.49</v>
      </c>
      <c r="K274" t="str">
        <f t="shared" si="4"/>
        <v>VALID</v>
      </c>
    </row>
    <row r="275" spans="1:11" x14ac:dyDescent="0.3">
      <c r="A275" t="s">
        <v>63</v>
      </c>
      <c r="B275" t="s">
        <v>20</v>
      </c>
      <c r="C275" t="s">
        <v>25</v>
      </c>
      <c r="D275" t="s">
        <v>26</v>
      </c>
      <c r="E275" t="s">
        <v>27</v>
      </c>
      <c r="F275">
        <v>1466</v>
      </c>
      <c r="G275">
        <v>901</v>
      </c>
      <c r="H275">
        <v>9.8800000000000008</v>
      </c>
      <c r="I275">
        <v>1.45</v>
      </c>
      <c r="J275">
        <v>8.43</v>
      </c>
      <c r="K275" t="str">
        <f t="shared" si="4"/>
        <v>VALID</v>
      </c>
    </row>
    <row r="276" spans="1:11" x14ac:dyDescent="0.3">
      <c r="A276" t="s">
        <v>63</v>
      </c>
      <c r="B276" t="s">
        <v>20</v>
      </c>
      <c r="C276" t="s">
        <v>25</v>
      </c>
      <c r="D276" t="s">
        <v>26</v>
      </c>
      <c r="E276" t="s">
        <v>27</v>
      </c>
      <c r="F276">
        <v>1466</v>
      </c>
      <c r="G276">
        <v>901</v>
      </c>
      <c r="H276">
        <v>9.8800000000000008</v>
      </c>
      <c r="I276">
        <v>1.45</v>
      </c>
      <c r="J276">
        <v>8.43</v>
      </c>
      <c r="K276" t="str">
        <f t="shared" si="4"/>
        <v>VALID</v>
      </c>
    </row>
    <row r="277" spans="1:11" x14ac:dyDescent="0.3">
      <c r="A277" t="s">
        <v>63</v>
      </c>
      <c r="B277" t="s">
        <v>20</v>
      </c>
      <c r="C277" t="s">
        <v>25</v>
      </c>
      <c r="D277" t="s">
        <v>26</v>
      </c>
      <c r="E277" t="s">
        <v>27</v>
      </c>
      <c r="F277">
        <v>1466</v>
      </c>
      <c r="G277">
        <v>901</v>
      </c>
      <c r="H277">
        <v>9.8800000000000008</v>
      </c>
      <c r="I277">
        <v>1.45</v>
      </c>
      <c r="J277">
        <v>8.43</v>
      </c>
      <c r="K277" t="str">
        <f t="shared" si="4"/>
        <v>VALID</v>
      </c>
    </row>
    <row r="278" spans="1:11" x14ac:dyDescent="0.3">
      <c r="A278" t="s">
        <v>63</v>
      </c>
      <c r="B278" t="s">
        <v>20</v>
      </c>
      <c r="C278" t="s">
        <v>30</v>
      </c>
      <c r="D278" t="s">
        <v>22</v>
      </c>
      <c r="E278" t="s">
        <v>27</v>
      </c>
      <c r="F278">
        <v>615</v>
      </c>
      <c r="G278">
        <v>2232</v>
      </c>
      <c r="H278">
        <v>7.74</v>
      </c>
      <c r="I278">
        <v>1.17</v>
      </c>
      <c r="J278">
        <v>6.57</v>
      </c>
      <c r="K278" t="str">
        <f t="shared" si="4"/>
        <v>VALID</v>
      </c>
    </row>
    <row r="279" spans="1:11" x14ac:dyDescent="0.3">
      <c r="A279" t="s">
        <v>75</v>
      </c>
      <c r="B279" t="s">
        <v>29</v>
      </c>
      <c r="C279" t="s">
        <v>30</v>
      </c>
      <c r="D279" t="s">
        <v>26</v>
      </c>
      <c r="E279" t="s">
        <v>23</v>
      </c>
      <c r="F279">
        <v>1535</v>
      </c>
      <c r="G279">
        <v>1926</v>
      </c>
      <c r="H279">
        <v>6.81</v>
      </c>
      <c r="I279">
        <v>0.06</v>
      </c>
      <c r="J279">
        <v>6.75</v>
      </c>
      <c r="K279" t="str">
        <f t="shared" si="4"/>
        <v>VALID</v>
      </c>
    </row>
    <row r="280" spans="1:11" x14ac:dyDescent="0.3">
      <c r="A280" t="s">
        <v>75</v>
      </c>
      <c r="B280" t="s">
        <v>29</v>
      </c>
      <c r="C280" t="s">
        <v>30</v>
      </c>
      <c r="D280" t="s">
        <v>26</v>
      </c>
      <c r="E280" t="s">
        <v>23</v>
      </c>
      <c r="F280">
        <v>1535</v>
      </c>
      <c r="G280">
        <v>1926</v>
      </c>
      <c r="H280">
        <v>6.81</v>
      </c>
      <c r="I280">
        <v>0.06</v>
      </c>
      <c r="J280">
        <v>6.75</v>
      </c>
      <c r="K280" t="str">
        <f t="shared" si="4"/>
        <v>VALID</v>
      </c>
    </row>
    <row r="281" spans="1:11" x14ac:dyDescent="0.3">
      <c r="A281" t="s">
        <v>75</v>
      </c>
      <c r="B281" t="s">
        <v>20</v>
      </c>
      <c r="C281" t="s">
        <v>21</v>
      </c>
      <c r="D281" t="s">
        <v>26</v>
      </c>
      <c r="E281" t="s">
        <v>27</v>
      </c>
      <c r="F281">
        <v>5765</v>
      </c>
      <c r="G281">
        <v>211</v>
      </c>
      <c r="H281">
        <v>8.08</v>
      </c>
      <c r="I281">
        <v>1.56</v>
      </c>
      <c r="J281">
        <v>6.52</v>
      </c>
      <c r="K281" t="str">
        <f t="shared" si="4"/>
        <v>VALID</v>
      </c>
    </row>
    <row r="282" spans="1:11" x14ac:dyDescent="0.3">
      <c r="A282" t="s">
        <v>75</v>
      </c>
      <c r="B282" t="s">
        <v>29</v>
      </c>
      <c r="C282" t="s">
        <v>30</v>
      </c>
      <c r="D282" t="s">
        <v>26</v>
      </c>
      <c r="E282" t="s">
        <v>23</v>
      </c>
      <c r="F282">
        <v>1535</v>
      </c>
      <c r="G282">
        <v>1926</v>
      </c>
      <c r="H282">
        <v>6.81</v>
      </c>
      <c r="I282">
        <v>0.06</v>
      </c>
      <c r="J282">
        <v>6.75</v>
      </c>
      <c r="K282" t="str">
        <f t="shared" si="4"/>
        <v>VALID</v>
      </c>
    </row>
    <row r="283" spans="1:11" x14ac:dyDescent="0.3">
      <c r="A283" s="22" t="s">
        <v>52</v>
      </c>
      <c r="B283" s="22" t="s">
        <v>29</v>
      </c>
      <c r="C283" s="22" t="s">
        <v>21</v>
      </c>
      <c r="D283" s="22" t="s">
        <v>26</v>
      </c>
      <c r="E283" s="22" t="s">
        <v>27</v>
      </c>
      <c r="F283" s="22">
        <v>6717</v>
      </c>
      <c r="G283" s="22">
        <v>1572</v>
      </c>
      <c r="H283" s="22">
        <v>6.25</v>
      </c>
      <c r="I283" s="22">
        <v>1.89</v>
      </c>
      <c r="J283" s="22">
        <v>4.3600000000000003</v>
      </c>
      <c r="K283" s="22" t="str">
        <f t="shared" si="4"/>
        <v>INVALID</v>
      </c>
    </row>
    <row r="284" spans="1:11" x14ac:dyDescent="0.3">
      <c r="A284" s="22" t="s">
        <v>52</v>
      </c>
      <c r="B284" s="22" t="s">
        <v>29</v>
      </c>
      <c r="C284" s="22" t="s">
        <v>25</v>
      </c>
      <c r="D284" s="22" t="s">
        <v>31</v>
      </c>
      <c r="E284" s="22" t="s">
        <v>23</v>
      </c>
      <c r="F284" s="22">
        <v>502</v>
      </c>
      <c r="G284" s="22">
        <v>4102</v>
      </c>
      <c r="H284" s="22">
        <v>5.37</v>
      </c>
      <c r="I284" s="22">
        <v>0.34</v>
      </c>
      <c r="J284" s="22">
        <v>5.03</v>
      </c>
      <c r="K284" s="22" t="str">
        <f t="shared" si="4"/>
        <v>INVALID</v>
      </c>
    </row>
    <row r="285" spans="1:11" x14ac:dyDescent="0.3">
      <c r="A285" s="22" t="s">
        <v>52</v>
      </c>
      <c r="B285" s="22" t="s">
        <v>34</v>
      </c>
      <c r="C285" s="22" t="s">
        <v>25</v>
      </c>
      <c r="D285" s="22" t="s">
        <v>31</v>
      </c>
      <c r="E285" s="22" t="s">
        <v>27</v>
      </c>
      <c r="F285" s="22">
        <v>6662</v>
      </c>
      <c r="G285" s="22">
        <v>132</v>
      </c>
      <c r="H285" s="22">
        <v>9.84</v>
      </c>
      <c r="I285" s="22">
        <v>0.52</v>
      </c>
      <c r="J285" s="22">
        <v>9.32</v>
      </c>
      <c r="K285" s="22" t="str">
        <f t="shared" si="4"/>
        <v>INVALID</v>
      </c>
    </row>
    <row r="286" spans="1:11" x14ac:dyDescent="0.3">
      <c r="A286" s="22" t="s">
        <v>52</v>
      </c>
      <c r="B286" s="22" t="s">
        <v>20</v>
      </c>
      <c r="C286" s="22" t="s">
        <v>30</v>
      </c>
      <c r="D286" s="22" t="s">
        <v>22</v>
      </c>
      <c r="E286" s="22" t="s">
        <v>27</v>
      </c>
      <c r="F286" s="22">
        <v>4805</v>
      </c>
      <c r="G286" s="22">
        <v>5407</v>
      </c>
      <c r="H286" s="22">
        <v>6.04</v>
      </c>
      <c r="I286" s="22">
        <v>1.36</v>
      </c>
      <c r="J286" s="22">
        <v>4.68</v>
      </c>
      <c r="K286" s="22" t="str">
        <f t="shared" si="4"/>
        <v>INVALID</v>
      </c>
    </row>
    <row r="287" spans="1:11" x14ac:dyDescent="0.3">
      <c r="A287" s="22" t="s">
        <v>52</v>
      </c>
      <c r="B287" s="22" t="s">
        <v>29</v>
      </c>
      <c r="C287" s="22" t="s">
        <v>25</v>
      </c>
      <c r="D287" s="22" t="s">
        <v>22</v>
      </c>
      <c r="E287" s="22" t="s">
        <v>27</v>
      </c>
      <c r="F287" s="22">
        <v>2517</v>
      </c>
      <c r="G287" s="22">
        <v>2861</v>
      </c>
      <c r="H287" s="22">
        <v>8.2899999999999991</v>
      </c>
      <c r="I287" s="22">
        <v>1.98</v>
      </c>
      <c r="J287" s="22">
        <v>6.31</v>
      </c>
      <c r="K287" s="22" t="str">
        <f t="shared" si="4"/>
        <v>INVALID</v>
      </c>
    </row>
    <row r="288" spans="1:11" x14ac:dyDescent="0.3">
      <c r="A288" s="22" t="s">
        <v>52</v>
      </c>
      <c r="B288" s="22" t="s">
        <v>20</v>
      </c>
      <c r="C288" s="22" t="s">
        <v>30</v>
      </c>
      <c r="D288" s="22" t="s">
        <v>22</v>
      </c>
      <c r="E288" s="22" t="s">
        <v>27</v>
      </c>
      <c r="F288" s="22">
        <v>4805</v>
      </c>
      <c r="G288" s="22">
        <v>5407</v>
      </c>
      <c r="H288" s="22">
        <v>6.04</v>
      </c>
      <c r="I288" s="22">
        <v>1.36</v>
      </c>
      <c r="J288" s="22">
        <v>4.68</v>
      </c>
      <c r="K288" s="22" t="str">
        <f t="shared" si="4"/>
        <v>INVALID</v>
      </c>
    </row>
    <row r="289" spans="1:11" x14ac:dyDescent="0.3">
      <c r="A289" s="22" t="s">
        <v>52</v>
      </c>
      <c r="B289" s="22" t="s">
        <v>29</v>
      </c>
      <c r="C289" s="22" t="s">
        <v>21</v>
      </c>
      <c r="D289" s="22" t="s">
        <v>26</v>
      </c>
      <c r="E289" s="22" t="s">
        <v>27</v>
      </c>
      <c r="F289" s="22">
        <v>4629</v>
      </c>
      <c r="G289" s="22">
        <v>6379</v>
      </c>
      <c r="H289" s="22">
        <v>6.26</v>
      </c>
      <c r="I289" s="22">
        <v>1.64</v>
      </c>
      <c r="J289" s="22">
        <v>4.62</v>
      </c>
      <c r="K289" s="22" t="str">
        <f t="shared" si="4"/>
        <v>INVALID</v>
      </c>
    </row>
    <row r="290" spans="1:11" x14ac:dyDescent="0.3">
      <c r="A290" s="22" t="s">
        <v>52</v>
      </c>
      <c r="B290" s="22" t="s">
        <v>34</v>
      </c>
      <c r="C290" s="22" t="s">
        <v>21</v>
      </c>
      <c r="D290" s="22" t="s">
        <v>22</v>
      </c>
      <c r="E290" s="22" t="s">
        <v>27</v>
      </c>
      <c r="F290" s="22">
        <v>717</v>
      </c>
      <c r="G290" s="22">
        <v>852</v>
      </c>
      <c r="H290" s="22">
        <v>8.98</v>
      </c>
      <c r="I290" s="22">
        <v>1.24</v>
      </c>
      <c r="J290" s="22">
        <v>7.74</v>
      </c>
      <c r="K290" s="22" t="str">
        <f t="shared" si="4"/>
        <v>INVALID</v>
      </c>
    </row>
    <row r="291" spans="1:11" x14ac:dyDescent="0.3">
      <c r="A291" s="22" t="s">
        <v>52</v>
      </c>
      <c r="B291" s="22" t="s">
        <v>34</v>
      </c>
      <c r="C291" s="22" t="s">
        <v>30</v>
      </c>
      <c r="D291" s="22" t="s">
        <v>26</v>
      </c>
      <c r="E291" s="22" t="s">
        <v>23</v>
      </c>
      <c r="F291" s="22">
        <v>1823</v>
      </c>
      <c r="G291" s="22">
        <v>5292</v>
      </c>
      <c r="H291" s="22">
        <v>7.1</v>
      </c>
      <c r="I291" s="22">
        <v>0.34</v>
      </c>
      <c r="J291" s="22">
        <v>6.76</v>
      </c>
      <c r="K291" s="22" t="str">
        <f t="shared" si="4"/>
        <v>INVALID</v>
      </c>
    </row>
    <row r="292" spans="1:11" x14ac:dyDescent="0.3">
      <c r="A292" s="22" t="s">
        <v>52</v>
      </c>
      <c r="B292" s="22" t="s">
        <v>29</v>
      </c>
      <c r="C292" s="22" t="s">
        <v>21</v>
      </c>
      <c r="D292" s="22" t="s">
        <v>22</v>
      </c>
      <c r="E292" s="22" t="s">
        <v>27</v>
      </c>
      <c r="F292" s="22">
        <v>6140</v>
      </c>
      <c r="G292" s="22">
        <v>68</v>
      </c>
      <c r="H292" s="22">
        <v>5.95</v>
      </c>
      <c r="I292" s="22">
        <v>0.06</v>
      </c>
      <c r="J292" s="22">
        <v>5.89</v>
      </c>
      <c r="K292" s="22" t="str">
        <f t="shared" si="4"/>
        <v>INVALID</v>
      </c>
    </row>
    <row r="293" spans="1:11" x14ac:dyDescent="0.3">
      <c r="A293" s="22" t="s">
        <v>52</v>
      </c>
      <c r="B293" s="22" t="s">
        <v>34</v>
      </c>
      <c r="C293" s="22" t="s">
        <v>25</v>
      </c>
      <c r="D293" s="22" t="s">
        <v>22</v>
      </c>
      <c r="E293" s="22" t="s">
        <v>27</v>
      </c>
      <c r="F293" s="22">
        <v>3737</v>
      </c>
      <c r="G293" s="22">
        <v>269</v>
      </c>
      <c r="H293" s="22">
        <v>9.9499999999999993</v>
      </c>
      <c r="I293" s="22">
        <v>0.78</v>
      </c>
      <c r="J293" s="22">
        <v>9.17</v>
      </c>
      <c r="K293" s="22" t="str">
        <f t="shared" si="4"/>
        <v>INVALID</v>
      </c>
    </row>
    <row r="294" spans="1:11" x14ac:dyDescent="0.3">
      <c r="A294" s="22" t="s">
        <v>52</v>
      </c>
      <c r="B294" s="22" t="s">
        <v>29</v>
      </c>
      <c r="C294" s="22" t="s">
        <v>30</v>
      </c>
      <c r="D294" s="22" t="s">
        <v>26</v>
      </c>
      <c r="E294" s="22" t="s">
        <v>27</v>
      </c>
      <c r="F294" s="22">
        <v>4746</v>
      </c>
      <c r="G294" s="22">
        <v>2902</v>
      </c>
      <c r="H294" s="22">
        <v>4.88</v>
      </c>
      <c r="I294" s="22">
        <v>1.2</v>
      </c>
      <c r="J294" s="22">
        <v>3.68</v>
      </c>
      <c r="K294" s="22" t="str">
        <f t="shared" si="4"/>
        <v>INVALID</v>
      </c>
    </row>
    <row r="295" spans="1:11" x14ac:dyDescent="0.3">
      <c r="A295" s="22" t="s">
        <v>52</v>
      </c>
      <c r="B295" s="22" t="s">
        <v>34</v>
      </c>
      <c r="C295" s="22" t="s">
        <v>21</v>
      </c>
      <c r="D295" s="22" t="s">
        <v>22</v>
      </c>
      <c r="E295" s="22" t="s">
        <v>27</v>
      </c>
      <c r="F295" s="22">
        <v>717</v>
      </c>
      <c r="G295" s="22">
        <v>852</v>
      </c>
      <c r="H295" s="22">
        <v>8.98</v>
      </c>
      <c r="I295" s="22">
        <v>1.24</v>
      </c>
      <c r="J295" s="22">
        <v>7.74</v>
      </c>
      <c r="K295" s="22" t="str">
        <f t="shared" si="4"/>
        <v>INVALID</v>
      </c>
    </row>
    <row r="296" spans="1:11" x14ac:dyDescent="0.3">
      <c r="A296" s="22" t="s">
        <v>52</v>
      </c>
      <c r="B296" s="22" t="s">
        <v>29</v>
      </c>
      <c r="C296" s="22" t="s">
        <v>30</v>
      </c>
      <c r="D296" s="22" t="s">
        <v>26</v>
      </c>
      <c r="E296" s="22" t="s">
        <v>23</v>
      </c>
      <c r="F296" s="22">
        <v>7595</v>
      </c>
      <c r="G296" s="22">
        <v>6414</v>
      </c>
      <c r="H296" s="22">
        <v>6.28</v>
      </c>
      <c r="I296" s="22">
        <v>1.55</v>
      </c>
      <c r="J296" s="22">
        <v>4.7300000000000004</v>
      </c>
      <c r="K296" s="22" t="str">
        <f t="shared" si="4"/>
        <v>INVALID</v>
      </c>
    </row>
    <row r="297" spans="1:11" x14ac:dyDescent="0.3">
      <c r="A297" s="22" t="s">
        <v>52</v>
      </c>
      <c r="B297" s="22" t="s">
        <v>34</v>
      </c>
      <c r="C297" s="22" t="s">
        <v>25</v>
      </c>
      <c r="D297" s="22" t="s">
        <v>22</v>
      </c>
      <c r="E297" s="22" t="s">
        <v>27</v>
      </c>
      <c r="F297" s="22">
        <v>3737</v>
      </c>
      <c r="G297" s="22">
        <v>269</v>
      </c>
      <c r="H297" s="22">
        <v>9.9499999999999993</v>
      </c>
      <c r="I297" s="22">
        <v>0.78</v>
      </c>
      <c r="J297" s="22">
        <v>9.17</v>
      </c>
      <c r="K297" s="22" t="str">
        <f t="shared" si="4"/>
        <v>INVALID</v>
      </c>
    </row>
    <row r="298" spans="1:11" x14ac:dyDescent="0.3">
      <c r="A298" s="22"/>
      <c r="B298" s="22" t="s">
        <v>34</v>
      </c>
      <c r="C298" s="22" t="s">
        <v>30</v>
      </c>
      <c r="D298" s="22" t="s">
        <v>22</v>
      </c>
      <c r="E298" s="22" t="s">
        <v>27</v>
      </c>
      <c r="F298" s="22">
        <v>7568</v>
      </c>
      <c r="G298" s="22">
        <v>4206</v>
      </c>
      <c r="H298" s="22">
        <v>8.2100000000000009</v>
      </c>
      <c r="I298" s="22">
        <v>0.84</v>
      </c>
      <c r="J298" s="22">
        <v>7.37</v>
      </c>
      <c r="K298" s="22" t="str">
        <f t="shared" si="4"/>
        <v>INVALID</v>
      </c>
    </row>
    <row r="299" spans="1:11" x14ac:dyDescent="0.3">
      <c r="A299" t="s">
        <v>33</v>
      </c>
      <c r="B299" t="s">
        <v>34</v>
      </c>
      <c r="C299" t="s">
        <v>25</v>
      </c>
      <c r="D299" t="s">
        <v>22</v>
      </c>
      <c r="E299" t="s">
        <v>23</v>
      </c>
      <c r="F299">
        <v>4650</v>
      </c>
      <c r="G299">
        <v>3990</v>
      </c>
      <c r="H299">
        <v>9.5399999999999991</v>
      </c>
      <c r="J299">
        <v>8.0299999999999994</v>
      </c>
      <c r="K299" t="str">
        <f t="shared" si="4"/>
        <v>VALID</v>
      </c>
    </row>
    <row r="300" spans="1:11" x14ac:dyDescent="0.3">
      <c r="A300" t="s">
        <v>60</v>
      </c>
      <c r="B300" t="s">
        <v>20</v>
      </c>
      <c r="C300" t="s">
        <v>21</v>
      </c>
      <c r="D300" t="s">
        <v>26</v>
      </c>
      <c r="E300" t="s">
        <v>23</v>
      </c>
      <c r="F300">
        <v>4148</v>
      </c>
      <c r="G300">
        <v>611</v>
      </c>
      <c r="H300">
        <v>9.7200000000000006</v>
      </c>
      <c r="J300">
        <v>9.4600000000000009</v>
      </c>
      <c r="K300" t="str">
        <f t="shared" si="4"/>
        <v>VALID</v>
      </c>
    </row>
    <row r="301" spans="1:11" x14ac:dyDescent="0.3">
      <c r="A301" s="22"/>
      <c r="B301" s="22" t="s">
        <v>29</v>
      </c>
      <c r="C301" s="22" t="s">
        <v>21</v>
      </c>
      <c r="D301" s="22" t="s">
        <v>22</v>
      </c>
      <c r="E301" s="22" t="s">
        <v>23</v>
      </c>
      <c r="F301" s="22">
        <v>4956</v>
      </c>
      <c r="G301" s="22">
        <v>5518</v>
      </c>
      <c r="H301" s="22">
        <v>7.4</v>
      </c>
      <c r="I301" s="22">
        <v>0.09</v>
      </c>
      <c r="J301" s="22">
        <v>7.31</v>
      </c>
      <c r="K301" s="22" t="str">
        <f t="shared" si="4"/>
        <v>INVALID</v>
      </c>
    </row>
  </sheetData>
  <autoFilter ref="A1:K301" xr:uid="{00000000-0001-0000-02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G301"/>
  <sheetViews>
    <sheetView workbookViewId="0">
      <selection activeCell="A269" sqref="A269"/>
    </sheetView>
  </sheetViews>
  <sheetFormatPr defaultRowHeight="14.4" x14ac:dyDescent="0.3"/>
  <cols>
    <col min="1" max="1" width="10.6640625" bestFit="1" customWidth="1"/>
    <col min="2" max="2" width="12" bestFit="1" customWidth="1"/>
    <col min="3" max="3" width="12.33203125" bestFit="1" customWidth="1"/>
    <col min="4" max="4" width="15.6640625" bestFit="1" customWidth="1"/>
    <col min="5" max="5" width="6.44140625" bestFit="1" customWidth="1"/>
    <col min="6" max="6" width="13.33203125" bestFit="1" customWidth="1"/>
    <col min="7" max="7" width="14.77734375" bestFit="1" customWidth="1"/>
  </cols>
  <sheetData>
    <row r="1" spans="1:7" x14ac:dyDescent="0.3">
      <c r="A1" s="2" t="s">
        <v>9</v>
      </c>
      <c r="B1" s="2" t="s">
        <v>103</v>
      </c>
      <c r="C1" s="2" t="s">
        <v>104</v>
      </c>
      <c r="D1" s="2" t="s">
        <v>105</v>
      </c>
      <c r="E1" s="2" t="s">
        <v>106</v>
      </c>
      <c r="F1" s="2" t="s">
        <v>107</v>
      </c>
      <c r="G1" s="2" t="s">
        <v>188</v>
      </c>
    </row>
    <row r="2" spans="1:7" x14ac:dyDescent="0.3">
      <c r="A2" t="s">
        <v>92</v>
      </c>
      <c r="B2" t="s">
        <v>115</v>
      </c>
      <c r="C2">
        <v>3.85</v>
      </c>
      <c r="D2">
        <v>8.6300000000000008</v>
      </c>
      <c r="E2">
        <v>27</v>
      </c>
      <c r="F2">
        <v>85.69</v>
      </c>
      <c r="G2" t="str">
        <f t="shared" ref="G2:G65" si="0">IF(ISNUMBER(DATEVALUE(A2)),"VALID","INVALID")</f>
        <v>VALID</v>
      </c>
    </row>
    <row r="3" spans="1:7" x14ac:dyDescent="0.3">
      <c r="A3" t="s">
        <v>36</v>
      </c>
      <c r="B3" t="s">
        <v>115</v>
      </c>
      <c r="C3">
        <v>3.86</v>
      </c>
      <c r="D3">
        <v>9.33</v>
      </c>
      <c r="E3">
        <v>43</v>
      </c>
      <c r="F3">
        <v>135.66999999999999</v>
      </c>
      <c r="G3" t="str">
        <f t="shared" si="0"/>
        <v>VALID</v>
      </c>
    </row>
    <row r="4" spans="1:7" x14ac:dyDescent="0.3">
      <c r="A4" t="s">
        <v>36</v>
      </c>
      <c r="B4" t="s">
        <v>115</v>
      </c>
      <c r="C4">
        <v>3.86</v>
      </c>
      <c r="D4">
        <v>9.33</v>
      </c>
      <c r="E4">
        <v>43</v>
      </c>
      <c r="F4">
        <v>135.66999999999999</v>
      </c>
      <c r="G4" t="str">
        <f t="shared" si="0"/>
        <v>VALID</v>
      </c>
    </row>
    <row r="5" spans="1:7" x14ac:dyDescent="0.3">
      <c r="A5" t="s">
        <v>36</v>
      </c>
      <c r="B5" t="s">
        <v>108</v>
      </c>
      <c r="C5">
        <v>6.1</v>
      </c>
      <c r="D5">
        <v>11.43</v>
      </c>
      <c r="E5">
        <v>20</v>
      </c>
      <c r="F5">
        <v>50.09</v>
      </c>
      <c r="G5" t="str">
        <f t="shared" si="0"/>
        <v>VALID</v>
      </c>
    </row>
    <row r="6" spans="1:7" x14ac:dyDescent="0.3">
      <c r="A6" t="s">
        <v>54</v>
      </c>
      <c r="B6" t="s">
        <v>111</v>
      </c>
      <c r="C6">
        <v>4.9400000000000004</v>
      </c>
      <c r="D6">
        <v>8.73</v>
      </c>
      <c r="E6">
        <v>42</v>
      </c>
      <c r="F6">
        <v>118.19</v>
      </c>
      <c r="G6" t="str">
        <f t="shared" si="0"/>
        <v>VALID</v>
      </c>
    </row>
    <row r="7" spans="1:7" x14ac:dyDescent="0.3">
      <c r="A7" t="s">
        <v>54</v>
      </c>
      <c r="B7" t="s">
        <v>111</v>
      </c>
      <c r="C7">
        <v>4.9400000000000004</v>
      </c>
      <c r="D7">
        <v>8.73</v>
      </c>
      <c r="E7">
        <v>42</v>
      </c>
      <c r="F7">
        <v>118.19</v>
      </c>
      <c r="G7" t="str">
        <f t="shared" si="0"/>
        <v>VALID</v>
      </c>
    </row>
    <row r="8" spans="1:7" x14ac:dyDescent="0.3">
      <c r="A8" t="s">
        <v>54</v>
      </c>
      <c r="B8" t="s">
        <v>109</v>
      </c>
      <c r="C8">
        <v>4.08</v>
      </c>
      <c r="D8">
        <v>5.88</v>
      </c>
      <c r="E8">
        <v>32</v>
      </c>
      <c r="F8">
        <v>103.67</v>
      </c>
      <c r="G8" t="str">
        <f t="shared" si="0"/>
        <v>VALID</v>
      </c>
    </row>
    <row r="9" spans="1:7" x14ac:dyDescent="0.3">
      <c r="A9" t="s">
        <v>24</v>
      </c>
      <c r="B9" t="s">
        <v>109</v>
      </c>
      <c r="C9">
        <v>3.52</v>
      </c>
      <c r="D9">
        <v>8.7100000000000009</v>
      </c>
      <c r="E9">
        <v>20</v>
      </c>
      <c r="F9">
        <v>66.83</v>
      </c>
      <c r="G9" t="str">
        <f t="shared" si="0"/>
        <v>VALID</v>
      </c>
    </row>
    <row r="10" spans="1:7" x14ac:dyDescent="0.3">
      <c r="A10" t="s">
        <v>24</v>
      </c>
      <c r="B10" t="s">
        <v>111</v>
      </c>
      <c r="C10">
        <v>5.93</v>
      </c>
      <c r="D10">
        <v>9.0299999999999994</v>
      </c>
      <c r="E10">
        <v>16</v>
      </c>
      <c r="F10">
        <v>32.380000000000003</v>
      </c>
      <c r="G10" t="str">
        <f t="shared" si="0"/>
        <v>VALID</v>
      </c>
    </row>
    <row r="11" spans="1:7" x14ac:dyDescent="0.3">
      <c r="A11" t="s">
        <v>24</v>
      </c>
      <c r="B11" t="s">
        <v>113</v>
      </c>
      <c r="C11">
        <v>5.1100000000000003</v>
      </c>
      <c r="D11">
        <v>8.66</v>
      </c>
      <c r="E11">
        <v>45</v>
      </c>
      <c r="F11">
        <v>135.11000000000001</v>
      </c>
      <c r="G11" t="str">
        <f t="shared" si="0"/>
        <v>VALID</v>
      </c>
    </row>
    <row r="12" spans="1:7" x14ac:dyDescent="0.3">
      <c r="A12" t="s">
        <v>24</v>
      </c>
      <c r="B12" t="s">
        <v>111</v>
      </c>
      <c r="C12">
        <v>3.34</v>
      </c>
      <c r="D12">
        <v>13.06</v>
      </c>
      <c r="E12">
        <v>27</v>
      </c>
      <c r="F12">
        <v>69.2</v>
      </c>
      <c r="G12" t="str">
        <f t="shared" si="0"/>
        <v>VALID</v>
      </c>
    </row>
    <row r="13" spans="1:7" x14ac:dyDescent="0.3">
      <c r="A13" t="s">
        <v>24</v>
      </c>
      <c r="B13" t="s">
        <v>111</v>
      </c>
      <c r="C13">
        <v>7.98</v>
      </c>
      <c r="D13">
        <v>9.5299999999999994</v>
      </c>
      <c r="E13">
        <v>32</v>
      </c>
      <c r="F13">
        <v>73.959999999999994</v>
      </c>
      <c r="G13" t="str">
        <f t="shared" si="0"/>
        <v>VALID</v>
      </c>
    </row>
    <row r="14" spans="1:7" x14ac:dyDescent="0.3">
      <c r="A14" t="s">
        <v>24</v>
      </c>
      <c r="B14" t="s">
        <v>111</v>
      </c>
      <c r="C14">
        <v>5.93</v>
      </c>
      <c r="D14">
        <v>9.0299999999999994</v>
      </c>
      <c r="E14">
        <v>16</v>
      </c>
      <c r="F14">
        <v>32.380000000000003</v>
      </c>
      <c r="G14" t="str">
        <f t="shared" si="0"/>
        <v>VALID</v>
      </c>
    </row>
    <row r="15" spans="1:7" x14ac:dyDescent="0.3">
      <c r="A15" t="s">
        <v>24</v>
      </c>
      <c r="B15" t="s">
        <v>111</v>
      </c>
      <c r="C15">
        <v>7.98</v>
      </c>
      <c r="D15">
        <v>9.5299999999999994</v>
      </c>
      <c r="E15">
        <v>32</v>
      </c>
      <c r="F15">
        <v>73.959999999999994</v>
      </c>
      <c r="G15" t="str">
        <f t="shared" si="0"/>
        <v>VALID</v>
      </c>
    </row>
    <row r="16" spans="1:7" x14ac:dyDescent="0.3">
      <c r="A16" t="s">
        <v>24</v>
      </c>
      <c r="B16" t="s">
        <v>111</v>
      </c>
      <c r="C16">
        <v>3.34</v>
      </c>
      <c r="D16">
        <v>13.06</v>
      </c>
      <c r="E16">
        <v>27</v>
      </c>
      <c r="F16">
        <v>69.2</v>
      </c>
      <c r="G16" t="str">
        <f t="shared" si="0"/>
        <v>VALID</v>
      </c>
    </row>
    <row r="17" spans="1:7" x14ac:dyDescent="0.3">
      <c r="A17" t="s">
        <v>24</v>
      </c>
      <c r="B17" t="s">
        <v>109</v>
      </c>
      <c r="C17">
        <v>2.04</v>
      </c>
      <c r="D17">
        <v>14.75</v>
      </c>
      <c r="E17">
        <v>19</v>
      </c>
      <c r="F17">
        <v>53.08</v>
      </c>
      <c r="G17" t="str">
        <f t="shared" si="0"/>
        <v>VALID</v>
      </c>
    </row>
    <row r="18" spans="1:7" x14ac:dyDescent="0.3">
      <c r="A18" t="s">
        <v>24</v>
      </c>
      <c r="B18" t="s">
        <v>109</v>
      </c>
      <c r="C18">
        <v>3.52</v>
      </c>
      <c r="D18">
        <v>8.7100000000000009</v>
      </c>
      <c r="E18">
        <v>20</v>
      </c>
      <c r="F18">
        <v>66.83</v>
      </c>
      <c r="G18" t="str">
        <f t="shared" si="0"/>
        <v>VALID</v>
      </c>
    </row>
    <row r="19" spans="1:7" x14ac:dyDescent="0.3">
      <c r="A19" t="s">
        <v>114</v>
      </c>
      <c r="B19" t="s">
        <v>115</v>
      </c>
      <c r="C19">
        <v>6.12</v>
      </c>
      <c r="D19">
        <v>11.28</v>
      </c>
      <c r="E19">
        <v>32</v>
      </c>
      <c r="F19">
        <v>67.489999999999995</v>
      </c>
      <c r="G19" t="str">
        <f t="shared" si="0"/>
        <v>VALID</v>
      </c>
    </row>
    <row r="20" spans="1:7" x14ac:dyDescent="0.3">
      <c r="A20" t="s">
        <v>114</v>
      </c>
      <c r="B20" t="s">
        <v>115</v>
      </c>
      <c r="C20">
        <v>3.11</v>
      </c>
      <c r="D20">
        <v>14.21</v>
      </c>
      <c r="E20">
        <v>13</v>
      </c>
      <c r="F20">
        <v>23.78</v>
      </c>
      <c r="G20" t="str">
        <f t="shared" si="0"/>
        <v>VALID</v>
      </c>
    </row>
    <row r="21" spans="1:7" x14ac:dyDescent="0.3">
      <c r="A21" t="s">
        <v>114</v>
      </c>
      <c r="B21" t="s">
        <v>115</v>
      </c>
      <c r="C21">
        <v>3.11</v>
      </c>
      <c r="D21">
        <v>14.21</v>
      </c>
      <c r="E21">
        <v>13</v>
      </c>
      <c r="F21">
        <v>23.78</v>
      </c>
      <c r="G21" t="str">
        <f t="shared" si="0"/>
        <v>VALID</v>
      </c>
    </row>
    <row r="22" spans="1:7" x14ac:dyDescent="0.3">
      <c r="A22" t="s">
        <v>114</v>
      </c>
      <c r="B22" t="s">
        <v>113</v>
      </c>
      <c r="C22">
        <v>2.35</v>
      </c>
      <c r="D22">
        <v>9.9700000000000006</v>
      </c>
      <c r="E22">
        <v>25</v>
      </c>
      <c r="F22">
        <v>74.459999999999994</v>
      </c>
      <c r="G22" t="str">
        <f t="shared" si="0"/>
        <v>VALID</v>
      </c>
    </row>
    <row r="23" spans="1:7" x14ac:dyDescent="0.3">
      <c r="A23" t="s">
        <v>114</v>
      </c>
      <c r="B23" t="s">
        <v>108</v>
      </c>
      <c r="C23">
        <v>2.29</v>
      </c>
      <c r="D23">
        <v>7.23</v>
      </c>
      <c r="E23">
        <v>41</v>
      </c>
      <c r="F23">
        <v>83.81</v>
      </c>
      <c r="G23" t="str">
        <f t="shared" si="0"/>
        <v>VALID</v>
      </c>
    </row>
    <row r="24" spans="1:7" x14ac:dyDescent="0.3">
      <c r="A24" t="s">
        <v>114</v>
      </c>
      <c r="B24" t="s">
        <v>108</v>
      </c>
      <c r="C24">
        <v>2.29</v>
      </c>
      <c r="D24">
        <v>7.23</v>
      </c>
      <c r="E24">
        <v>41</v>
      </c>
      <c r="F24">
        <v>83.81</v>
      </c>
      <c r="G24" t="str">
        <f t="shared" si="0"/>
        <v>VALID</v>
      </c>
    </row>
    <row r="25" spans="1:7" x14ac:dyDescent="0.3">
      <c r="A25" t="s">
        <v>114</v>
      </c>
      <c r="B25" t="s">
        <v>115</v>
      </c>
      <c r="C25">
        <v>6.12</v>
      </c>
      <c r="D25">
        <v>11.28</v>
      </c>
      <c r="E25">
        <v>32</v>
      </c>
      <c r="F25">
        <v>67.489999999999995</v>
      </c>
      <c r="G25" t="str">
        <f t="shared" si="0"/>
        <v>VALID</v>
      </c>
    </row>
    <row r="26" spans="1:7" x14ac:dyDescent="0.3">
      <c r="A26" t="s">
        <v>114</v>
      </c>
      <c r="B26" t="s">
        <v>115</v>
      </c>
      <c r="C26">
        <v>3.11</v>
      </c>
      <c r="D26">
        <v>14.21</v>
      </c>
      <c r="E26">
        <v>13</v>
      </c>
      <c r="F26">
        <v>23.78</v>
      </c>
      <c r="G26" t="str">
        <f t="shared" si="0"/>
        <v>VALID</v>
      </c>
    </row>
    <row r="27" spans="1:7" x14ac:dyDescent="0.3">
      <c r="A27" t="s">
        <v>114</v>
      </c>
      <c r="B27" t="s">
        <v>113</v>
      </c>
      <c r="C27">
        <v>2.35</v>
      </c>
      <c r="D27">
        <v>9.9700000000000006</v>
      </c>
      <c r="E27">
        <v>25</v>
      </c>
      <c r="F27">
        <v>74.459999999999994</v>
      </c>
      <c r="G27" t="str">
        <f t="shared" si="0"/>
        <v>VALID</v>
      </c>
    </row>
    <row r="28" spans="1:7" x14ac:dyDescent="0.3">
      <c r="A28" t="s">
        <v>87</v>
      </c>
      <c r="B28" t="s">
        <v>115</v>
      </c>
      <c r="C28">
        <v>4.68</v>
      </c>
      <c r="D28">
        <v>8.76</v>
      </c>
      <c r="E28">
        <v>25</v>
      </c>
      <c r="F28">
        <v>59.96</v>
      </c>
      <c r="G28" t="str">
        <f t="shared" si="0"/>
        <v>VALID</v>
      </c>
    </row>
    <row r="29" spans="1:7" x14ac:dyDescent="0.3">
      <c r="A29" t="s">
        <v>87</v>
      </c>
      <c r="B29" t="s">
        <v>115</v>
      </c>
      <c r="C29">
        <v>4.68</v>
      </c>
      <c r="D29">
        <v>8.76</v>
      </c>
      <c r="E29">
        <v>25</v>
      </c>
      <c r="G29" t="str">
        <f t="shared" si="0"/>
        <v>VALID</v>
      </c>
    </row>
    <row r="30" spans="1:7" x14ac:dyDescent="0.3">
      <c r="A30" t="s">
        <v>87</v>
      </c>
      <c r="B30" t="s">
        <v>113</v>
      </c>
      <c r="C30">
        <v>5.32</v>
      </c>
      <c r="D30">
        <v>7.89</v>
      </c>
      <c r="E30">
        <v>35</v>
      </c>
      <c r="F30">
        <v>118.77</v>
      </c>
      <c r="G30" t="str">
        <f t="shared" si="0"/>
        <v>VALID</v>
      </c>
    </row>
    <row r="31" spans="1:7" x14ac:dyDescent="0.3">
      <c r="A31" t="s">
        <v>87</v>
      </c>
      <c r="B31" t="s">
        <v>115</v>
      </c>
      <c r="C31">
        <v>4.68</v>
      </c>
      <c r="D31">
        <v>8.76</v>
      </c>
      <c r="E31">
        <v>25</v>
      </c>
      <c r="F31">
        <v>59.96</v>
      </c>
      <c r="G31" t="str">
        <f t="shared" si="0"/>
        <v>VALID</v>
      </c>
    </row>
    <row r="32" spans="1:7" x14ac:dyDescent="0.3">
      <c r="A32" t="s">
        <v>87</v>
      </c>
      <c r="B32" t="s">
        <v>115</v>
      </c>
      <c r="C32">
        <v>4.68</v>
      </c>
      <c r="D32">
        <v>8.76</v>
      </c>
      <c r="E32">
        <v>25</v>
      </c>
      <c r="F32">
        <v>59.96</v>
      </c>
      <c r="G32" t="str">
        <f t="shared" si="0"/>
        <v>VALID</v>
      </c>
    </row>
    <row r="33" spans="1:7" x14ac:dyDescent="0.3">
      <c r="A33" t="s">
        <v>87</v>
      </c>
      <c r="B33" t="s">
        <v>115</v>
      </c>
      <c r="C33">
        <v>6.61</v>
      </c>
      <c r="D33">
        <v>12.22</v>
      </c>
      <c r="E33">
        <v>39</v>
      </c>
      <c r="F33">
        <v>78.209999999999994</v>
      </c>
      <c r="G33" t="str">
        <f t="shared" si="0"/>
        <v>VALID</v>
      </c>
    </row>
    <row r="34" spans="1:7" x14ac:dyDescent="0.3">
      <c r="A34" t="s">
        <v>87</v>
      </c>
      <c r="B34" t="s">
        <v>113</v>
      </c>
      <c r="C34">
        <v>5.32</v>
      </c>
      <c r="D34">
        <v>7.89</v>
      </c>
      <c r="E34">
        <v>35</v>
      </c>
      <c r="F34">
        <v>118.77</v>
      </c>
      <c r="G34" t="str">
        <f t="shared" si="0"/>
        <v>VALID</v>
      </c>
    </row>
    <row r="35" spans="1:7" x14ac:dyDescent="0.3">
      <c r="A35" t="s">
        <v>102</v>
      </c>
      <c r="B35" t="s">
        <v>108</v>
      </c>
      <c r="C35">
        <v>4.05</v>
      </c>
      <c r="D35">
        <v>9.0299999999999994</v>
      </c>
      <c r="E35">
        <v>16</v>
      </c>
      <c r="F35">
        <v>32.619999999999997</v>
      </c>
      <c r="G35" t="str">
        <f t="shared" si="0"/>
        <v>VALID</v>
      </c>
    </row>
    <row r="36" spans="1:7" x14ac:dyDescent="0.3">
      <c r="A36" t="s">
        <v>102</v>
      </c>
      <c r="B36" t="s">
        <v>108</v>
      </c>
      <c r="C36">
        <v>4.05</v>
      </c>
      <c r="D36">
        <v>9.0299999999999994</v>
      </c>
      <c r="E36">
        <v>16</v>
      </c>
      <c r="F36">
        <v>32.619999999999997</v>
      </c>
      <c r="G36" t="str">
        <f t="shared" si="0"/>
        <v>VALID</v>
      </c>
    </row>
    <row r="37" spans="1:7" x14ac:dyDescent="0.3">
      <c r="A37" t="s">
        <v>59</v>
      </c>
      <c r="B37" t="s">
        <v>108</v>
      </c>
      <c r="C37">
        <v>6.56</v>
      </c>
      <c r="D37">
        <v>7.02</v>
      </c>
      <c r="E37">
        <v>35</v>
      </c>
      <c r="F37">
        <v>71.319999999999993</v>
      </c>
      <c r="G37" t="str">
        <f t="shared" si="0"/>
        <v>VALID</v>
      </c>
    </row>
    <row r="38" spans="1:7" x14ac:dyDescent="0.3">
      <c r="A38" t="s">
        <v>59</v>
      </c>
      <c r="B38" t="s">
        <v>108</v>
      </c>
      <c r="C38">
        <v>7.97</v>
      </c>
      <c r="D38">
        <v>7.7</v>
      </c>
      <c r="E38">
        <v>18</v>
      </c>
      <c r="F38">
        <v>56.19</v>
      </c>
      <c r="G38" t="str">
        <f t="shared" si="0"/>
        <v>VALID</v>
      </c>
    </row>
    <row r="39" spans="1:7" x14ac:dyDescent="0.3">
      <c r="A39" t="s">
        <v>59</v>
      </c>
      <c r="B39" t="s">
        <v>109</v>
      </c>
      <c r="C39">
        <v>4.04</v>
      </c>
      <c r="D39">
        <v>5.52</v>
      </c>
      <c r="E39">
        <v>30</v>
      </c>
      <c r="F39">
        <v>78.599999999999994</v>
      </c>
      <c r="G39" t="str">
        <f t="shared" si="0"/>
        <v>VALID</v>
      </c>
    </row>
    <row r="40" spans="1:7" x14ac:dyDescent="0.3">
      <c r="A40" t="s">
        <v>59</v>
      </c>
      <c r="B40" t="s">
        <v>115</v>
      </c>
      <c r="C40">
        <v>6.61</v>
      </c>
      <c r="D40">
        <v>12.47</v>
      </c>
      <c r="E40">
        <v>41</v>
      </c>
      <c r="F40">
        <v>137.43</v>
      </c>
      <c r="G40" t="str">
        <f t="shared" si="0"/>
        <v>VALID</v>
      </c>
    </row>
    <row r="41" spans="1:7" x14ac:dyDescent="0.3">
      <c r="A41" t="s">
        <v>42</v>
      </c>
      <c r="B41" t="s">
        <v>111</v>
      </c>
      <c r="C41">
        <v>6.63</v>
      </c>
      <c r="D41">
        <v>7.09</v>
      </c>
      <c r="E41">
        <v>18</v>
      </c>
      <c r="F41">
        <v>55.57</v>
      </c>
      <c r="G41" t="str">
        <f t="shared" si="0"/>
        <v>VALID</v>
      </c>
    </row>
    <row r="42" spans="1:7" x14ac:dyDescent="0.3">
      <c r="A42" t="s">
        <v>70</v>
      </c>
      <c r="B42" t="s">
        <v>111</v>
      </c>
      <c r="C42">
        <v>2.93</v>
      </c>
      <c r="D42">
        <v>7.68</v>
      </c>
      <c r="E42">
        <v>30</v>
      </c>
      <c r="F42">
        <v>94.86</v>
      </c>
      <c r="G42" t="str">
        <f t="shared" si="0"/>
        <v>VALID</v>
      </c>
    </row>
    <row r="43" spans="1:7" x14ac:dyDescent="0.3">
      <c r="A43" t="s">
        <v>70</v>
      </c>
      <c r="B43" t="s">
        <v>111</v>
      </c>
      <c r="C43">
        <v>2.93</v>
      </c>
      <c r="D43">
        <v>7.68</v>
      </c>
      <c r="E43">
        <v>30</v>
      </c>
      <c r="F43">
        <v>94.86</v>
      </c>
      <c r="G43" t="str">
        <f t="shared" si="0"/>
        <v>VALID</v>
      </c>
    </row>
    <row r="44" spans="1:7" x14ac:dyDescent="0.3">
      <c r="A44" t="s">
        <v>70</v>
      </c>
      <c r="B44" t="s">
        <v>115</v>
      </c>
      <c r="C44">
        <v>7.15</v>
      </c>
      <c r="D44">
        <v>12.13</v>
      </c>
      <c r="E44">
        <v>40</v>
      </c>
      <c r="F44">
        <v>123.03</v>
      </c>
      <c r="G44" t="str">
        <f t="shared" si="0"/>
        <v>VALID</v>
      </c>
    </row>
    <row r="45" spans="1:7" x14ac:dyDescent="0.3">
      <c r="A45" t="s">
        <v>70</v>
      </c>
      <c r="B45" t="s">
        <v>113</v>
      </c>
      <c r="C45">
        <v>3.84</v>
      </c>
      <c r="D45">
        <v>11.16</v>
      </c>
      <c r="E45">
        <v>27</v>
      </c>
      <c r="F45">
        <v>64.8</v>
      </c>
      <c r="G45" t="str">
        <f t="shared" si="0"/>
        <v>VALID</v>
      </c>
    </row>
    <row r="46" spans="1:7" x14ac:dyDescent="0.3">
      <c r="A46" t="s">
        <v>70</v>
      </c>
      <c r="B46" t="s">
        <v>115</v>
      </c>
      <c r="C46">
        <v>7.15</v>
      </c>
      <c r="D46">
        <v>12.13</v>
      </c>
      <c r="E46">
        <v>40</v>
      </c>
      <c r="F46">
        <v>123.03</v>
      </c>
      <c r="G46" t="str">
        <f t="shared" si="0"/>
        <v>VALID</v>
      </c>
    </row>
    <row r="47" spans="1:7" x14ac:dyDescent="0.3">
      <c r="A47" t="s">
        <v>70</v>
      </c>
      <c r="B47" t="s">
        <v>111</v>
      </c>
      <c r="C47">
        <v>2.93</v>
      </c>
      <c r="D47">
        <v>7.68</v>
      </c>
      <c r="E47">
        <v>30</v>
      </c>
      <c r="F47">
        <v>94.86</v>
      </c>
      <c r="G47" t="str">
        <f t="shared" si="0"/>
        <v>VALID</v>
      </c>
    </row>
    <row r="48" spans="1:7" x14ac:dyDescent="0.3">
      <c r="A48" t="s">
        <v>70</v>
      </c>
      <c r="B48" t="s">
        <v>113</v>
      </c>
      <c r="C48">
        <v>3.84</v>
      </c>
      <c r="D48">
        <v>11.16</v>
      </c>
      <c r="E48">
        <v>27</v>
      </c>
      <c r="F48">
        <v>64.8</v>
      </c>
      <c r="G48" t="str">
        <f t="shared" si="0"/>
        <v>VALID</v>
      </c>
    </row>
    <row r="49" spans="1:7" x14ac:dyDescent="0.3">
      <c r="A49" t="s">
        <v>70</v>
      </c>
      <c r="B49" t="s">
        <v>115</v>
      </c>
      <c r="C49">
        <v>7.15</v>
      </c>
      <c r="D49">
        <v>12.13</v>
      </c>
      <c r="E49">
        <v>40</v>
      </c>
      <c r="F49">
        <v>123.03</v>
      </c>
      <c r="G49" t="str">
        <f t="shared" si="0"/>
        <v>VALID</v>
      </c>
    </row>
    <row r="50" spans="1:7" x14ac:dyDescent="0.3">
      <c r="A50" t="s">
        <v>57</v>
      </c>
      <c r="B50" t="s">
        <v>113</v>
      </c>
      <c r="C50">
        <v>7.85</v>
      </c>
      <c r="D50">
        <v>9.75</v>
      </c>
      <c r="E50">
        <v>36</v>
      </c>
      <c r="F50">
        <v>81.66</v>
      </c>
      <c r="G50" t="str">
        <f t="shared" si="0"/>
        <v>VALID</v>
      </c>
    </row>
    <row r="51" spans="1:7" x14ac:dyDescent="0.3">
      <c r="A51" t="s">
        <v>57</v>
      </c>
      <c r="B51" t="s">
        <v>113</v>
      </c>
      <c r="C51">
        <v>5.0199999999999996</v>
      </c>
      <c r="D51">
        <v>6.06</v>
      </c>
      <c r="E51">
        <v>43</v>
      </c>
      <c r="F51">
        <v>119.57</v>
      </c>
      <c r="G51" t="str">
        <f t="shared" si="0"/>
        <v>VALID</v>
      </c>
    </row>
    <row r="52" spans="1:7" x14ac:dyDescent="0.3">
      <c r="A52" t="s">
        <v>57</v>
      </c>
      <c r="B52" t="s">
        <v>113</v>
      </c>
      <c r="C52">
        <v>5.0199999999999996</v>
      </c>
      <c r="D52">
        <v>6.06</v>
      </c>
      <c r="E52">
        <v>43</v>
      </c>
      <c r="F52">
        <v>119.57</v>
      </c>
      <c r="G52" t="str">
        <f t="shared" si="0"/>
        <v>VALID</v>
      </c>
    </row>
    <row r="53" spans="1:7" x14ac:dyDescent="0.3">
      <c r="A53" t="s">
        <v>57</v>
      </c>
      <c r="B53" t="s">
        <v>113</v>
      </c>
      <c r="C53">
        <v>7.85</v>
      </c>
      <c r="D53">
        <v>9.75</v>
      </c>
      <c r="E53">
        <v>36</v>
      </c>
      <c r="G53" t="str">
        <f t="shared" si="0"/>
        <v>VALID</v>
      </c>
    </row>
    <row r="54" spans="1:7" x14ac:dyDescent="0.3">
      <c r="A54" t="s">
        <v>57</v>
      </c>
      <c r="B54" t="s">
        <v>111</v>
      </c>
      <c r="C54">
        <v>4.3600000000000003</v>
      </c>
      <c r="D54">
        <v>11.31</v>
      </c>
      <c r="E54">
        <v>29</v>
      </c>
      <c r="F54">
        <v>56.56</v>
      </c>
      <c r="G54" t="str">
        <f t="shared" si="0"/>
        <v>VALID</v>
      </c>
    </row>
    <row r="55" spans="1:7" x14ac:dyDescent="0.3">
      <c r="A55" t="s">
        <v>57</v>
      </c>
      <c r="B55" t="s">
        <v>113</v>
      </c>
      <c r="C55">
        <v>7.85</v>
      </c>
      <c r="D55">
        <v>9.75</v>
      </c>
      <c r="E55">
        <v>36</v>
      </c>
      <c r="F55">
        <v>81.66</v>
      </c>
      <c r="G55" t="str">
        <f t="shared" si="0"/>
        <v>VALID</v>
      </c>
    </row>
    <row r="56" spans="1:7" x14ac:dyDescent="0.3">
      <c r="A56" t="s">
        <v>57</v>
      </c>
      <c r="B56" t="s">
        <v>113</v>
      </c>
      <c r="C56">
        <v>5.0199999999999996</v>
      </c>
      <c r="D56">
        <v>6.06</v>
      </c>
      <c r="E56">
        <v>43</v>
      </c>
      <c r="F56">
        <v>119.57</v>
      </c>
      <c r="G56" t="str">
        <f t="shared" si="0"/>
        <v>VALID</v>
      </c>
    </row>
    <row r="57" spans="1:7" x14ac:dyDescent="0.3">
      <c r="A57" t="s">
        <v>57</v>
      </c>
      <c r="B57" t="s">
        <v>113</v>
      </c>
      <c r="C57">
        <v>7.85</v>
      </c>
      <c r="D57">
        <v>9.75</v>
      </c>
      <c r="E57">
        <v>36</v>
      </c>
      <c r="F57">
        <v>81.66</v>
      </c>
      <c r="G57" t="str">
        <f t="shared" si="0"/>
        <v>VALID</v>
      </c>
    </row>
    <row r="58" spans="1:7" x14ac:dyDescent="0.3">
      <c r="A58" t="s">
        <v>80</v>
      </c>
      <c r="B58" t="s">
        <v>113</v>
      </c>
      <c r="C58">
        <v>2.96</v>
      </c>
      <c r="D58">
        <v>6.6</v>
      </c>
      <c r="E58">
        <v>30</v>
      </c>
      <c r="F58">
        <v>73.319999999999993</v>
      </c>
      <c r="G58" t="str">
        <f t="shared" si="0"/>
        <v>VALID</v>
      </c>
    </row>
    <row r="59" spans="1:7" x14ac:dyDescent="0.3">
      <c r="A59" t="s">
        <v>80</v>
      </c>
      <c r="B59" t="s">
        <v>113</v>
      </c>
      <c r="C59">
        <v>2.96</v>
      </c>
      <c r="D59">
        <v>6.6</v>
      </c>
      <c r="E59">
        <v>30</v>
      </c>
      <c r="F59">
        <v>73.319999999999993</v>
      </c>
      <c r="G59" t="str">
        <f t="shared" si="0"/>
        <v>VALID</v>
      </c>
    </row>
    <row r="60" spans="1:7" x14ac:dyDescent="0.3">
      <c r="A60" t="s">
        <v>80</v>
      </c>
      <c r="B60" t="s">
        <v>113</v>
      </c>
      <c r="C60">
        <v>2.96</v>
      </c>
      <c r="D60">
        <v>6.6</v>
      </c>
      <c r="E60">
        <v>30</v>
      </c>
      <c r="F60">
        <v>73.319999999999993</v>
      </c>
      <c r="G60" t="str">
        <f t="shared" si="0"/>
        <v>VALID</v>
      </c>
    </row>
    <row r="61" spans="1:7" x14ac:dyDescent="0.3">
      <c r="A61" t="s">
        <v>80</v>
      </c>
      <c r="B61" t="s">
        <v>113</v>
      </c>
      <c r="C61">
        <v>2.96</v>
      </c>
      <c r="D61">
        <v>6.6</v>
      </c>
      <c r="E61">
        <v>30</v>
      </c>
      <c r="F61">
        <v>73.319999999999993</v>
      </c>
      <c r="G61" t="str">
        <f t="shared" si="0"/>
        <v>VALID</v>
      </c>
    </row>
    <row r="62" spans="1:7" x14ac:dyDescent="0.3">
      <c r="A62" t="s">
        <v>80</v>
      </c>
      <c r="B62" t="s">
        <v>113</v>
      </c>
      <c r="C62">
        <v>2.96</v>
      </c>
      <c r="D62">
        <v>6.6</v>
      </c>
      <c r="E62">
        <v>30</v>
      </c>
      <c r="F62">
        <v>73.319999999999993</v>
      </c>
      <c r="G62" t="str">
        <f t="shared" si="0"/>
        <v>VALID</v>
      </c>
    </row>
    <row r="63" spans="1:7" x14ac:dyDescent="0.3">
      <c r="A63" t="s">
        <v>80</v>
      </c>
      <c r="B63" t="s">
        <v>113</v>
      </c>
      <c r="C63">
        <v>2.96</v>
      </c>
      <c r="D63">
        <v>6.6</v>
      </c>
      <c r="E63">
        <v>30</v>
      </c>
      <c r="F63">
        <v>73.319999999999993</v>
      </c>
      <c r="G63" t="str">
        <f t="shared" si="0"/>
        <v>VALID</v>
      </c>
    </row>
    <row r="64" spans="1:7" x14ac:dyDescent="0.3">
      <c r="A64" t="s">
        <v>80</v>
      </c>
      <c r="B64" t="s">
        <v>113</v>
      </c>
      <c r="C64">
        <v>2.96</v>
      </c>
      <c r="D64">
        <v>6.6</v>
      </c>
      <c r="E64">
        <v>30</v>
      </c>
      <c r="F64">
        <v>73.319999999999993</v>
      </c>
      <c r="G64" t="str">
        <f t="shared" si="0"/>
        <v>VALID</v>
      </c>
    </row>
    <row r="65" spans="1:7" x14ac:dyDescent="0.3">
      <c r="A65" t="s">
        <v>95</v>
      </c>
      <c r="B65" t="s">
        <v>109</v>
      </c>
      <c r="C65">
        <v>5.33</v>
      </c>
      <c r="D65">
        <v>7.31</v>
      </c>
      <c r="E65">
        <v>8</v>
      </c>
      <c r="F65">
        <v>15.8</v>
      </c>
      <c r="G65" t="str">
        <f t="shared" si="0"/>
        <v>VALID</v>
      </c>
    </row>
    <row r="66" spans="1:7" x14ac:dyDescent="0.3">
      <c r="A66" t="s">
        <v>95</v>
      </c>
      <c r="B66" t="s">
        <v>113</v>
      </c>
      <c r="C66">
        <v>4.38</v>
      </c>
      <c r="D66">
        <v>11.49</v>
      </c>
      <c r="E66">
        <v>27</v>
      </c>
      <c r="F66">
        <v>79.290000000000006</v>
      </c>
      <c r="G66" t="str">
        <f t="shared" ref="G66:G129" si="1">IF(ISNUMBER(DATEVALUE(A66)),"VALID","INVALID")</f>
        <v>VALID</v>
      </c>
    </row>
    <row r="67" spans="1:7" x14ac:dyDescent="0.3">
      <c r="A67" t="s">
        <v>95</v>
      </c>
      <c r="B67" t="s">
        <v>113</v>
      </c>
      <c r="C67">
        <v>4.38</v>
      </c>
      <c r="D67">
        <v>11.49</v>
      </c>
      <c r="E67">
        <v>27</v>
      </c>
      <c r="F67">
        <v>79.290000000000006</v>
      </c>
      <c r="G67" t="str">
        <f t="shared" si="1"/>
        <v>VALID</v>
      </c>
    </row>
    <row r="68" spans="1:7" x14ac:dyDescent="0.3">
      <c r="A68" t="s">
        <v>119</v>
      </c>
      <c r="B68" t="s">
        <v>113</v>
      </c>
      <c r="C68">
        <v>3.38</v>
      </c>
      <c r="D68">
        <v>8.4700000000000006</v>
      </c>
      <c r="E68">
        <v>17</v>
      </c>
      <c r="F68">
        <v>44.31</v>
      </c>
      <c r="G68" t="str">
        <f t="shared" si="1"/>
        <v>VALID</v>
      </c>
    </row>
    <row r="69" spans="1:7" x14ac:dyDescent="0.3">
      <c r="A69" t="s">
        <v>119</v>
      </c>
      <c r="B69" t="s">
        <v>115</v>
      </c>
      <c r="C69">
        <v>5.24</v>
      </c>
      <c r="D69">
        <v>9.4600000000000009</v>
      </c>
      <c r="E69">
        <v>18</v>
      </c>
      <c r="F69">
        <v>51.6</v>
      </c>
      <c r="G69" t="str">
        <f t="shared" si="1"/>
        <v>VALID</v>
      </c>
    </row>
    <row r="70" spans="1:7" x14ac:dyDescent="0.3">
      <c r="A70" t="s">
        <v>119</v>
      </c>
      <c r="B70" t="s">
        <v>115</v>
      </c>
      <c r="C70">
        <v>5.24</v>
      </c>
      <c r="D70">
        <v>9.4600000000000009</v>
      </c>
      <c r="E70">
        <v>18</v>
      </c>
      <c r="F70">
        <v>51.6</v>
      </c>
      <c r="G70" t="str">
        <f t="shared" si="1"/>
        <v>VALID</v>
      </c>
    </row>
    <row r="71" spans="1:7" x14ac:dyDescent="0.3">
      <c r="A71" t="s">
        <v>119</v>
      </c>
      <c r="B71" t="s">
        <v>113</v>
      </c>
      <c r="C71">
        <v>3.38</v>
      </c>
      <c r="E71">
        <v>17</v>
      </c>
      <c r="F71">
        <v>44.31</v>
      </c>
      <c r="G71" t="str">
        <f t="shared" si="1"/>
        <v>VALID</v>
      </c>
    </row>
    <row r="72" spans="1:7" x14ac:dyDescent="0.3">
      <c r="A72" t="s">
        <v>126</v>
      </c>
      <c r="B72" t="s">
        <v>109</v>
      </c>
      <c r="C72">
        <v>5.94</v>
      </c>
      <c r="D72">
        <v>8.99</v>
      </c>
      <c r="E72">
        <v>9</v>
      </c>
      <c r="F72">
        <v>21.06</v>
      </c>
      <c r="G72" t="str">
        <f t="shared" si="1"/>
        <v>VALID</v>
      </c>
    </row>
    <row r="73" spans="1:7" x14ac:dyDescent="0.3">
      <c r="A73" t="s">
        <v>126</v>
      </c>
      <c r="B73" t="s">
        <v>108</v>
      </c>
      <c r="C73">
        <v>6.05</v>
      </c>
      <c r="D73">
        <v>7.19</v>
      </c>
      <c r="E73">
        <v>19</v>
      </c>
      <c r="F73">
        <v>58.83</v>
      </c>
      <c r="G73" t="str">
        <f t="shared" si="1"/>
        <v>VALID</v>
      </c>
    </row>
    <row r="74" spans="1:7" x14ac:dyDescent="0.3">
      <c r="A74" t="s">
        <v>126</v>
      </c>
      <c r="C74">
        <v>5.94</v>
      </c>
      <c r="D74">
        <v>8.99</v>
      </c>
      <c r="E74">
        <v>9</v>
      </c>
      <c r="F74">
        <v>21.06</v>
      </c>
      <c r="G74" t="str">
        <f t="shared" si="1"/>
        <v>VALID</v>
      </c>
    </row>
    <row r="75" spans="1:7" x14ac:dyDescent="0.3">
      <c r="A75" t="s">
        <v>126</v>
      </c>
      <c r="B75" t="s">
        <v>108</v>
      </c>
      <c r="C75">
        <v>6.05</v>
      </c>
      <c r="D75">
        <v>7.19</v>
      </c>
      <c r="E75">
        <v>19</v>
      </c>
      <c r="F75">
        <v>58.83</v>
      </c>
      <c r="G75" t="str">
        <f t="shared" si="1"/>
        <v>VALID</v>
      </c>
    </row>
    <row r="76" spans="1:7" x14ac:dyDescent="0.3">
      <c r="A76" t="s">
        <v>40</v>
      </c>
      <c r="B76" t="s">
        <v>115</v>
      </c>
      <c r="C76">
        <v>7.97</v>
      </c>
      <c r="D76">
        <v>7.52</v>
      </c>
      <c r="E76">
        <v>23</v>
      </c>
      <c r="F76">
        <v>54.97</v>
      </c>
      <c r="G76" t="str">
        <f t="shared" si="1"/>
        <v>VALID</v>
      </c>
    </row>
    <row r="77" spans="1:7" x14ac:dyDescent="0.3">
      <c r="A77" t="s">
        <v>40</v>
      </c>
      <c r="B77" t="s">
        <v>111</v>
      </c>
      <c r="C77">
        <v>2.09</v>
      </c>
      <c r="D77">
        <v>10.220000000000001</v>
      </c>
      <c r="E77">
        <v>40</v>
      </c>
      <c r="F77">
        <v>118.19</v>
      </c>
      <c r="G77" t="str">
        <f t="shared" si="1"/>
        <v>VALID</v>
      </c>
    </row>
    <row r="78" spans="1:7" x14ac:dyDescent="0.3">
      <c r="A78" t="s">
        <v>40</v>
      </c>
      <c r="B78" t="s">
        <v>111</v>
      </c>
      <c r="C78">
        <v>2.09</v>
      </c>
      <c r="D78">
        <v>10.220000000000001</v>
      </c>
      <c r="E78">
        <v>40</v>
      </c>
      <c r="F78">
        <v>118.19</v>
      </c>
      <c r="G78" t="str">
        <f t="shared" si="1"/>
        <v>VALID</v>
      </c>
    </row>
    <row r="79" spans="1:7" x14ac:dyDescent="0.3">
      <c r="A79" t="s">
        <v>40</v>
      </c>
      <c r="B79" t="s">
        <v>115</v>
      </c>
      <c r="C79">
        <v>7.97</v>
      </c>
      <c r="D79">
        <v>7.52</v>
      </c>
      <c r="E79">
        <v>23</v>
      </c>
      <c r="F79">
        <v>54.97</v>
      </c>
      <c r="G79" t="str">
        <f t="shared" si="1"/>
        <v>VALID</v>
      </c>
    </row>
    <row r="80" spans="1:7" x14ac:dyDescent="0.3">
      <c r="A80" t="s">
        <v>40</v>
      </c>
      <c r="B80" t="s">
        <v>115</v>
      </c>
      <c r="C80">
        <v>7.97</v>
      </c>
      <c r="D80">
        <v>7.52</v>
      </c>
      <c r="E80">
        <v>23</v>
      </c>
      <c r="F80">
        <v>54.97</v>
      </c>
      <c r="G80" t="str">
        <f t="shared" si="1"/>
        <v>VALID</v>
      </c>
    </row>
    <row r="81" spans="1:7" x14ac:dyDescent="0.3">
      <c r="A81" t="s">
        <v>72</v>
      </c>
      <c r="B81" t="s">
        <v>115</v>
      </c>
      <c r="C81">
        <v>4.4800000000000004</v>
      </c>
      <c r="D81">
        <v>10.119999999999999</v>
      </c>
      <c r="E81">
        <v>37</v>
      </c>
      <c r="F81">
        <v>94.68</v>
      </c>
      <c r="G81" t="str">
        <f t="shared" si="1"/>
        <v>VALID</v>
      </c>
    </row>
    <row r="82" spans="1:7" x14ac:dyDescent="0.3">
      <c r="A82" t="s">
        <v>72</v>
      </c>
      <c r="B82" t="s">
        <v>111</v>
      </c>
      <c r="C82">
        <v>4.8899999999999997</v>
      </c>
      <c r="D82">
        <v>14.96</v>
      </c>
      <c r="E82">
        <v>41</v>
      </c>
      <c r="F82">
        <v>137.61000000000001</v>
      </c>
      <c r="G82" t="str">
        <f t="shared" si="1"/>
        <v>VALID</v>
      </c>
    </row>
    <row r="83" spans="1:7" x14ac:dyDescent="0.3">
      <c r="A83" t="s">
        <v>72</v>
      </c>
      <c r="B83" t="s">
        <v>111</v>
      </c>
      <c r="C83">
        <v>4.8899999999999997</v>
      </c>
      <c r="D83">
        <v>14.96</v>
      </c>
      <c r="E83">
        <v>41</v>
      </c>
      <c r="F83">
        <v>137.61000000000001</v>
      </c>
      <c r="G83" t="str">
        <f t="shared" si="1"/>
        <v>VALID</v>
      </c>
    </row>
    <row r="84" spans="1:7" x14ac:dyDescent="0.3">
      <c r="A84" t="s">
        <v>72</v>
      </c>
      <c r="B84" t="s">
        <v>115</v>
      </c>
      <c r="C84">
        <v>4.4800000000000004</v>
      </c>
      <c r="D84">
        <v>10.119999999999999</v>
      </c>
      <c r="E84">
        <v>37</v>
      </c>
      <c r="F84">
        <v>94.68</v>
      </c>
      <c r="G84" t="str">
        <f t="shared" si="1"/>
        <v>VALID</v>
      </c>
    </row>
    <row r="85" spans="1:7" x14ac:dyDescent="0.3">
      <c r="A85" t="s">
        <v>72</v>
      </c>
      <c r="B85" t="s">
        <v>115</v>
      </c>
      <c r="C85">
        <v>4.4800000000000004</v>
      </c>
      <c r="D85">
        <v>10.119999999999999</v>
      </c>
      <c r="E85">
        <v>37</v>
      </c>
      <c r="F85">
        <v>94.68</v>
      </c>
      <c r="G85" t="str">
        <f t="shared" si="1"/>
        <v>VALID</v>
      </c>
    </row>
    <row r="86" spans="1:7" x14ac:dyDescent="0.3">
      <c r="A86" t="s">
        <v>72</v>
      </c>
      <c r="C86">
        <v>7.65</v>
      </c>
      <c r="D86">
        <v>5.46</v>
      </c>
      <c r="E86">
        <v>45</v>
      </c>
      <c r="F86">
        <v>83.1</v>
      </c>
      <c r="G86" t="str">
        <f t="shared" si="1"/>
        <v>VALID</v>
      </c>
    </row>
    <row r="87" spans="1:7" x14ac:dyDescent="0.3">
      <c r="A87" t="s">
        <v>72</v>
      </c>
      <c r="B87" t="s">
        <v>111</v>
      </c>
      <c r="C87">
        <v>5.66</v>
      </c>
      <c r="D87">
        <v>5.0599999999999996</v>
      </c>
      <c r="E87">
        <v>26</v>
      </c>
      <c r="F87">
        <v>66.459999999999994</v>
      </c>
      <c r="G87" t="str">
        <f t="shared" si="1"/>
        <v>VALID</v>
      </c>
    </row>
    <row r="88" spans="1:7" x14ac:dyDescent="0.3">
      <c r="A88" t="s">
        <v>84</v>
      </c>
      <c r="B88" t="s">
        <v>108</v>
      </c>
      <c r="C88">
        <v>6.41</v>
      </c>
      <c r="D88">
        <v>6.49</v>
      </c>
      <c r="E88">
        <v>31</v>
      </c>
      <c r="F88">
        <v>61.35</v>
      </c>
      <c r="G88" t="str">
        <f t="shared" si="1"/>
        <v>VALID</v>
      </c>
    </row>
    <row r="89" spans="1:7" x14ac:dyDescent="0.3">
      <c r="A89" t="s">
        <v>84</v>
      </c>
      <c r="B89" t="s">
        <v>108</v>
      </c>
      <c r="C89">
        <v>6.41</v>
      </c>
      <c r="D89">
        <v>6.49</v>
      </c>
      <c r="E89">
        <v>31</v>
      </c>
      <c r="F89">
        <v>61.35</v>
      </c>
      <c r="G89" t="str">
        <f t="shared" si="1"/>
        <v>VALID</v>
      </c>
    </row>
    <row r="90" spans="1:7" x14ac:dyDescent="0.3">
      <c r="A90" t="s">
        <v>49</v>
      </c>
      <c r="B90" t="s">
        <v>109</v>
      </c>
      <c r="C90">
        <v>6.9</v>
      </c>
      <c r="D90">
        <v>14.54</v>
      </c>
      <c r="E90">
        <v>34</v>
      </c>
      <c r="F90">
        <v>80.61</v>
      </c>
      <c r="G90" t="str">
        <f t="shared" si="1"/>
        <v>VALID</v>
      </c>
    </row>
    <row r="91" spans="1:7" x14ac:dyDescent="0.3">
      <c r="A91" t="s">
        <v>49</v>
      </c>
      <c r="B91" t="s">
        <v>108</v>
      </c>
      <c r="C91">
        <v>7.45</v>
      </c>
      <c r="D91">
        <v>13.52</v>
      </c>
      <c r="E91">
        <v>15</v>
      </c>
      <c r="F91">
        <v>27.7</v>
      </c>
      <c r="G91" t="str">
        <f t="shared" si="1"/>
        <v>VALID</v>
      </c>
    </row>
    <row r="92" spans="1:7" x14ac:dyDescent="0.3">
      <c r="A92" t="s">
        <v>49</v>
      </c>
      <c r="B92" t="s">
        <v>109</v>
      </c>
      <c r="C92">
        <v>6.9</v>
      </c>
      <c r="D92">
        <v>14.54</v>
      </c>
      <c r="E92">
        <v>34</v>
      </c>
      <c r="F92">
        <v>80.61</v>
      </c>
      <c r="G92" t="str">
        <f t="shared" si="1"/>
        <v>VALID</v>
      </c>
    </row>
    <row r="93" spans="1:7" x14ac:dyDescent="0.3">
      <c r="A93" t="s">
        <v>49</v>
      </c>
      <c r="B93" t="s">
        <v>108</v>
      </c>
      <c r="C93">
        <v>7.45</v>
      </c>
      <c r="D93">
        <v>13.52</v>
      </c>
      <c r="E93">
        <v>15</v>
      </c>
      <c r="F93">
        <v>27.7</v>
      </c>
      <c r="G93" t="str">
        <f t="shared" si="1"/>
        <v>VALID</v>
      </c>
    </row>
    <row r="94" spans="1:7" x14ac:dyDescent="0.3">
      <c r="A94" t="s">
        <v>49</v>
      </c>
      <c r="B94" t="s">
        <v>108</v>
      </c>
      <c r="C94">
        <v>7.45</v>
      </c>
      <c r="D94">
        <v>13.52</v>
      </c>
      <c r="E94">
        <v>15</v>
      </c>
      <c r="F94">
        <v>27.7</v>
      </c>
      <c r="G94" t="str">
        <f t="shared" si="1"/>
        <v>VALID</v>
      </c>
    </row>
    <row r="95" spans="1:7" x14ac:dyDescent="0.3">
      <c r="A95" t="s">
        <v>49</v>
      </c>
      <c r="B95" t="s">
        <v>108</v>
      </c>
      <c r="C95">
        <v>7.45</v>
      </c>
      <c r="D95">
        <v>13.52</v>
      </c>
      <c r="E95">
        <v>15</v>
      </c>
      <c r="F95">
        <v>27.7</v>
      </c>
      <c r="G95" t="str">
        <f t="shared" si="1"/>
        <v>VALID</v>
      </c>
    </row>
    <row r="96" spans="1:7" x14ac:dyDescent="0.3">
      <c r="A96" t="s">
        <v>86</v>
      </c>
      <c r="B96" t="s">
        <v>113</v>
      </c>
      <c r="C96">
        <v>7.57</v>
      </c>
      <c r="D96">
        <v>7.78</v>
      </c>
      <c r="E96">
        <v>41</v>
      </c>
      <c r="F96">
        <v>123.39</v>
      </c>
      <c r="G96" t="str">
        <f t="shared" si="1"/>
        <v>VALID</v>
      </c>
    </row>
    <row r="97" spans="1:7" x14ac:dyDescent="0.3">
      <c r="A97" t="s">
        <v>86</v>
      </c>
      <c r="B97" t="s">
        <v>113</v>
      </c>
      <c r="C97">
        <v>7.57</v>
      </c>
      <c r="D97">
        <v>7.78</v>
      </c>
      <c r="E97">
        <v>41</v>
      </c>
      <c r="F97">
        <v>123.39</v>
      </c>
      <c r="G97" t="str">
        <f t="shared" si="1"/>
        <v>VALID</v>
      </c>
    </row>
    <row r="98" spans="1:7" x14ac:dyDescent="0.3">
      <c r="A98" t="s">
        <v>58</v>
      </c>
      <c r="B98" t="s">
        <v>108</v>
      </c>
      <c r="C98">
        <v>3.5</v>
      </c>
      <c r="D98">
        <v>6.05</v>
      </c>
      <c r="E98">
        <v>38</v>
      </c>
      <c r="F98">
        <v>113.4</v>
      </c>
      <c r="G98" t="str">
        <f t="shared" si="1"/>
        <v>VALID</v>
      </c>
    </row>
    <row r="99" spans="1:7" x14ac:dyDescent="0.3">
      <c r="A99" t="s">
        <v>58</v>
      </c>
      <c r="B99" t="s">
        <v>108</v>
      </c>
      <c r="C99">
        <v>3.5</v>
      </c>
      <c r="D99">
        <v>6.05</v>
      </c>
      <c r="E99">
        <v>38</v>
      </c>
      <c r="F99">
        <v>113.4</v>
      </c>
      <c r="G99" t="str">
        <f t="shared" si="1"/>
        <v>VALID</v>
      </c>
    </row>
    <row r="100" spans="1:7" x14ac:dyDescent="0.3">
      <c r="A100" t="s">
        <v>58</v>
      </c>
      <c r="B100" t="s">
        <v>108</v>
      </c>
      <c r="C100">
        <v>3.46</v>
      </c>
      <c r="D100">
        <v>6.32</v>
      </c>
      <c r="E100">
        <v>25</v>
      </c>
      <c r="F100">
        <v>81.87</v>
      </c>
      <c r="G100" t="str">
        <f t="shared" si="1"/>
        <v>VALID</v>
      </c>
    </row>
    <row r="101" spans="1:7" x14ac:dyDescent="0.3">
      <c r="A101" t="s">
        <v>120</v>
      </c>
      <c r="B101" t="s">
        <v>111</v>
      </c>
      <c r="C101">
        <v>7.66</v>
      </c>
      <c r="D101">
        <v>14.47</v>
      </c>
      <c r="E101">
        <v>39</v>
      </c>
      <c r="F101">
        <v>93.07</v>
      </c>
      <c r="G101" t="str">
        <f t="shared" si="1"/>
        <v>VALID</v>
      </c>
    </row>
    <row r="102" spans="1:7" x14ac:dyDescent="0.3">
      <c r="A102" t="s">
        <v>120</v>
      </c>
      <c r="B102" t="s">
        <v>111</v>
      </c>
      <c r="C102">
        <v>7.66</v>
      </c>
      <c r="D102">
        <v>14.47</v>
      </c>
      <c r="E102">
        <v>39</v>
      </c>
      <c r="F102">
        <v>93.07</v>
      </c>
      <c r="G102" t="str">
        <f t="shared" si="1"/>
        <v>VALID</v>
      </c>
    </row>
    <row r="103" spans="1:7" x14ac:dyDescent="0.3">
      <c r="A103" t="s">
        <v>120</v>
      </c>
      <c r="B103" t="s">
        <v>108</v>
      </c>
      <c r="C103">
        <v>7.82</v>
      </c>
      <c r="D103">
        <v>6.35</v>
      </c>
      <c r="E103">
        <v>37</v>
      </c>
      <c r="F103">
        <v>89.95</v>
      </c>
      <c r="G103" t="str">
        <f t="shared" si="1"/>
        <v>VALID</v>
      </c>
    </row>
    <row r="104" spans="1:7" x14ac:dyDescent="0.3">
      <c r="A104" t="s">
        <v>120</v>
      </c>
      <c r="B104" t="s">
        <v>111</v>
      </c>
      <c r="C104">
        <v>7.66</v>
      </c>
      <c r="D104">
        <v>14.47</v>
      </c>
      <c r="E104">
        <v>39</v>
      </c>
      <c r="F104">
        <v>93.07</v>
      </c>
      <c r="G104" t="str">
        <f t="shared" si="1"/>
        <v>VALID</v>
      </c>
    </row>
    <row r="105" spans="1:7" x14ac:dyDescent="0.3">
      <c r="A105" t="s">
        <v>112</v>
      </c>
      <c r="B105" t="s">
        <v>113</v>
      </c>
      <c r="C105">
        <v>5.51</v>
      </c>
      <c r="D105">
        <v>14.68</v>
      </c>
      <c r="E105">
        <v>31</v>
      </c>
      <c r="F105">
        <v>90.78</v>
      </c>
      <c r="G105" t="str">
        <f t="shared" si="1"/>
        <v>VALID</v>
      </c>
    </row>
    <row r="106" spans="1:7" x14ac:dyDescent="0.3">
      <c r="A106" t="s">
        <v>112</v>
      </c>
      <c r="B106" t="s">
        <v>113</v>
      </c>
      <c r="C106">
        <v>5.51</v>
      </c>
      <c r="D106">
        <v>14.68</v>
      </c>
      <c r="E106">
        <v>31</v>
      </c>
      <c r="F106">
        <v>90.78</v>
      </c>
      <c r="G106" t="str">
        <f t="shared" si="1"/>
        <v>VALID</v>
      </c>
    </row>
    <row r="107" spans="1:7" x14ac:dyDescent="0.3">
      <c r="A107" t="s">
        <v>112</v>
      </c>
      <c r="B107" t="s">
        <v>113</v>
      </c>
      <c r="C107">
        <v>5.51</v>
      </c>
      <c r="D107">
        <v>14.68</v>
      </c>
      <c r="E107">
        <v>31</v>
      </c>
      <c r="F107">
        <v>90.78</v>
      </c>
      <c r="G107" t="str">
        <f t="shared" si="1"/>
        <v>VALID</v>
      </c>
    </row>
    <row r="108" spans="1:7" x14ac:dyDescent="0.3">
      <c r="A108" t="s">
        <v>112</v>
      </c>
      <c r="B108" t="s">
        <v>113</v>
      </c>
      <c r="C108">
        <v>5.51</v>
      </c>
      <c r="D108">
        <v>14.68</v>
      </c>
      <c r="E108">
        <v>31</v>
      </c>
      <c r="F108">
        <v>90.78</v>
      </c>
      <c r="G108" t="str">
        <f t="shared" si="1"/>
        <v>VALID</v>
      </c>
    </row>
    <row r="109" spans="1:7" x14ac:dyDescent="0.3">
      <c r="A109" t="s">
        <v>41</v>
      </c>
      <c r="B109" t="s">
        <v>115</v>
      </c>
      <c r="C109">
        <v>5.49</v>
      </c>
      <c r="D109">
        <v>14.12</v>
      </c>
      <c r="E109">
        <v>9</v>
      </c>
      <c r="F109">
        <v>22.64</v>
      </c>
      <c r="G109" t="str">
        <f t="shared" si="1"/>
        <v>VALID</v>
      </c>
    </row>
    <row r="110" spans="1:7" x14ac:dyDescent="0.3">
      <c r="A110" t="s">
        <v>41</v>
      </c>
      <c r="B110" t="s">
        <v>115</v>
      </c>
      <c r="C110">
        <v>5.49</v>
      </c>
      <c r="D110">
        <v>14.12</v>
      </c>
      <c r="E110">
        <v>9</v>
      </c>
      <c r="F110">
        <v>22.64</v>
      </c>
      <c r="G110" t="str">
        <f t="shared" si="1"/>
        <v>VALID</v>
      </c>
    </row>
    <row r="111" spans="1:7" x14ac:dyDescent="0.3">
      <c r="A111" t="s">
        <v>45</v>
      </c>
      <c r="B111" t="s">
        <v>113</v>
      </c>
      <c r="C111">
        <v>7.43</v>
      </c>
      <c r="D111">
        <v>11.04</v>
      </c>
      <c r="E111">
        <v>30</v>
      </c>
      <c r="F111">
        <v>68.599999999999994</v>
      </c>
      <c r="G111" t="str">
        <f t="shared" si="1"/>
        <v>VALID</v>
      </c>
    </row>
    <row r="112" spans="1:7" x14ac:dyDescent="0.3">
      <c r="A112" t="s">
        <v>45</v>
      </c>
      <c r="B112" t="s">
        <v>115</v>
      </c>
      <c r="C112">
        <v>3.01</v>
      </c>
      <c r="D112">
        <v>7.02</v>
      </c>
      <c r="E112">
        <v>38</v>
      </c>
      <c r="F112">
        <v>88.39</v>
      </c>
      <c r="G112" t="str">
        <f t="shared" si="1"/>
        <v>VALID</v>
      </c>
    </row>
    <row r="113" spans="1:7" x14ac:dyDescent="0.3">
      <c r="A113" t="s">
        <v>64</v>
      </c>
      <c r="B113" t="s">
        <v>113</v>
      </c>
      <c r="C113">
        <v>2.42</v>
      </c>
      <c r="D113">
        <v>13.1</v>
      </c>
      <c r="E113">
        <v>35</v>
      </c>
      <c r="F113">
        <v>67.98</v>
      </c>
      <c r="G113" t="str">
        <f t="shared" si="1"/>
        <v>VALID</v>
      </c>
    </row>
    <row r="114" spans="1:7" x14ac:dyDescent="0.3">
      <c r="A114" t="s">
        <v>64</v>
      </c>
      <c r="B114" t="s">
        <v>108</v>
      </c>
      <c r="C114">
        <v>5.18</v>
      </c>
      <c r="D114">
        <v>14.8</v>
      </c>
      <c r="E114">
        <v>29</v>
      </c>
      <c r="F114">
        <v>54.96</v>
      </c>
      <c r="G114" t="str">
        <f t="shared" si="1"/>
        <v>VALID</v>
      </c>
    </row>
    <row r="115" spans="1:7" x14ac:dyDescent="0.3">
      <c r="A115" t="s">
        <v>64</v>
      </c>
      <c r="B115" t="s">
        <v>108</v>
      </c>
      <c r="C115">
        <v>5.18</v>
      </c>
      <c r="D115">
        <v>14.8</v>
      </c>
      <c r="E115">
        <v>29</v>
      </c>
      <c r="F115">
        <v>54.96</v>
      </c>
      <c r="G115" t="str">
        <f t="shared" si="1"/>
        <v>VALID</v>
      </c>
    </row>
    <row r="116" spans="1:7" x14ac:dyDescent="0.3">
      <c r="A116" t="s">
        <v>64</v>
      </c>
      <c r="B116" t="s">
        <v>113</v>
      </c>
      <c r="C116">
        <v>2.42</v>
      </c>
      <c r="D116">
        <v>13.1</v>
      </c>
      <c r="E116">
        <v>35</v>
      </c>
      <c r="F116">
        <v>67.98</v>
      </c>
      <c r="G116" t="str">
        <f t="shared" si="1"/>
        <v>VALID</v>
      </c>
    </row>
    <row r="117" spans="1:7" x14ac:dyDescent="0.3">
      <c r="A117" t="s">
        <v>51</v>
      </c>
      <c r="B117" t="s">
        <v>109</v>
      </c>
      <c r="C117">
        <v>4.3099999999999996</v>
      </c>
      <c r="D117">
        <v>13.9</v>
      </c>
      <c r="E117">
        <v>30</v>
      </c>
      <c r="F117">
        <v>70.42</v>
      </c>
      <c r="G117" t="str">
        <f t="shared" si="1"/>
        <v>VALID</v>
      </c>
    </row>
    <row r="118" spans="1:7" x14ac:dyDescent="0.3">
      <c r="A118" t="s">
        <v>51</v>
      </c>
      <c r="B118" t="s">
        <v>115</v>
      </c>
      <c r="C118">
        <v>6.48</v>
      </c>
      <c r="D118">
        <v>9.19</v>
      </c>
      <c r="E118">
        <v>8</v>
      </c>
      <c r="F118">
        <v>25.67</v>
      </c>
      <c r="G118" t="str">
        <f t="shared" si="1"/>
        <v>VALID</v>
      </c>
    </row>
    <row r="119" spans="1:7" x14ac:dyDescent="0.3">
      <c r="A119" t="s">
        <v>51</v>
      </c>
      <c r="B119" t="s">
        <v>113</v>
      </c>
      <c r="C119">
        <v>5.26</v>
      </c>
      <c r="D119">
        <v>5.37</v>
      </c>
      <c r="E119">
        <v>34</v>
      </c>
      <c r="F119">
        <v>99.25</v>
      </c>
      <c r="G119" t="str">
        <f t="shared" si="1"/>
        <v>VALID</v>
      </c>
    </row>
    <row r="120" spans="1:7" x14ac:dyDescent="0.3">
      <c r="A120" t="s">
        <v>51</v>
      </c>
      <c r="B120" t="s">
        <v>113</v>
      </c>
      <c r="C120">
        <v>5.26</v>
      </c>
      <c r="D120">
        <v>5.37</v>
      </c>
      <c r="E120">
        <v>34</v>
      </c>
      <c r="F120">
        <v>99.25</v>
      </c>
      <c r="G120" t="str">
        <f t="shared" si="1"/>
        <v>VALID</v>
      </c>
    </row>
    <row r="121" spans="1:7" x14ac:dyDescent="0.3">
      <c r="A121" t="s">
        <v>51</v>
      </c>
      <c r="B121" t="s">
        <v>115</v>
      </c>
      <c r="C121">
        <v>6.48</v>
      </c>
      <c r="D121">
        <v>9.19</v>
      </c>
      <c r="E121">
        <v>8</v>
      </c>
      <c r="F121">
        <v>25.67</v>
      </c>
      <c r="G121" t="str">
        <f t="shared" si="1"/>
        <v>VALID</v>
      </c>
    </row>
    <row r="122" spans="1:7" x14ac:dyDescent="0.3">
      <c r="A122" t="s">
        <v>51</v>
      </c>
      <c r="B122" t="s">
        <v>113</v>
      </c>
      <c r="C122">
        <v>5.26</v>
      </c>
      <c r="D122">
        <v>5.37</v>
      </c>
      <c r="E122">
        <v>34</v>
      </c>
      <c r="F122">
        <v>99.25</v>
      </c>
      <c r="G122" t="str">
        <f t="shared" si="1"/>
        <v>VALID</v>
      </c>
    </row>
    <row r="123" spans="1:7" x14ac:dyDescent="0.3">
      <c r="A123" t="s">
        <v>51</v>
      </c>
      <c r="B123" t="s">
        <v>109</v>
      </c>
      <c r="C123">
        <v>4.3099999999999996</v>
      </c>
      <c r="D123">
        <v>13.9</v>
      </c>
      <c r="E123">
        <v>30</v>
      </c>
      <c r="F123">
        <v>70.42</v>
      </c>
      <c r="G123" t="str">
        <f t="shared" si="1"/>
        <v>VALID</v>
      </c>
    </row>
    <row r="124" spans="1:7" x14ac:dyDescent="0.3">
      <c r="A124" t="s">
        <v>51</v>
      </c>
      <c r="B124" t="s">
        <v>115</v>
      </c>
      <c r="C124">
        <v>6.48</v>
      </c>
      <c r="D124">
        <v>9.19</v>
      </c>
      <c r="E124">
        <v>8</v>
      </c>
      <c r="F124">
        <v>25.67</v>
      </c>
      <c r="G124" t="str">
        <f t="shared" si="1"/>
        <v>VALID</v>
      </c>
    </row>
    <row r="125" spans="1:7" x14ac:dyDescent="0.3">
      <c r="A125" t="s">
        <v>51</v>
      </c>
      <c r="B125" t="s">
        <v>109</v>
      </c>
      <c r="C125">
        <v>4.3099999999999996</v>
      </c>
      <c r="D125">
        <v>13.9</v>
      </c>
      <c r="E125">
        <v>30</v>
      </c>
      <c r="F125">
        <v>70.42</v>
      </c>
      <c r="G125" t="str">
        <f t="shared" si="1"/>
        <v>VALID</v>
      </c>
    </row>
    <row r="126" spans="1:7" x14ac:dyDescent="0.3">
      <c r="A126" t="s">
        <v>51</v>
      </c>
      <c r="B126" t="s">
        <v>109</v>
      </c>
      <c r="C126">
        <v>4.3099999999999996</v>
      </c>
      <c r="D126">
        <v>13.9</v>
      </c>
      <c r="E126">
        <v>30</v>
      </c>
      <c r="F126">
        <v>70.42</v>
      </c>
      <c r="G126" t="str">
        <f t="shared" si="1"/>
        <v>VALID</v>
      </c>
    </row>
    <row r="127" spans="1:7" x14ac:dyDescent="0.3">
      <c r="A127" t="s">
        <v>51</v>
      </c>
      <c r="B127" t="s">
        <v>108</v>
      </c>
      <c r="C127">
        <v>2.66</v>
      </c>
      <c r="D127">
        <v>11.77</v>
      </c>
      <c r="E127">
        <v>25</v>
      </c>
      <c r="F127">
        <v>71.790000000000006</v>
      </c>
      <c r="G127" t="str">
        <f t="shared" si="1"/>
        <v>VALID</v>
      </c>
    </row>
    <row r="128" spans="1:7" x14ac:dyDescent="0.3">
      <c r="A128" t="s">
        <v>129</v>
      </c>
      <c r="B128" t="s">
        <v>115</v>
      </c>
      <c r="C128">
        <v>4.99</v>
      </c>
      <c r="D128">
        <v>6.92</v>
      </c>
      <c r="E128">
        <v>27</v>
      </c>
      <c r="F128">
        <v>90.23</v>
      </c>
      <c r="G128" t="str">
        <f t="shared" si="1"/>
        <v>VALID</v>
      </c>
    </row>
    <row r="129" spans="1:7" x14ac:dyDescent="0.3">
      <c r="A129" t="s">
        <v>110</v>
      </c>
      <c r="B129" t="s">
        <v>111</v>
      </c>
      <c r="C129">
        <v>5.09</v>
      </c>
      <c r="D129">
        <v>8.19</v>
      </c>
      <c r="E129">
        <v>45</v>
      </c>
      <c r="F129">
        <v>133.29</v>
      </c>
      <c r="G129" t="str">
        <f t="shared" si="1"/>
        <v>VALID</v>
      </c>
    </row>
    <row r="130" spans="1:7" x14ac:dyDescent="0.3">
      <c r="A130" t="s">
        <v>110</v>
      </c>
      <c r="B130" t="s">
        <v>111</v>
      </c>
      <c r="C130">
        <v>6.06</v>
      </c>
      <c r="D130">
        <v>10.41</v>
      </c>
      <c r="E130">
        <v>27</v>
      </c>
      <c r="F130">
        <v>89.6</v>
      </c>
      <c r="G130" t="str">
        <f t="shared" ref="G130:G193" si="2">IF(ISNUMBER(DATEVALUE(A130)),"VALID","INVALID")</f>
        <v>VALID</v>
      </c>
    </row>
    <row r="131" spans="1:7" x14ac:dyDescent="0.3">
      <c r="A131" t="s">
        <v>110</v>
      </c>
      <c r="B131" t="s">
        <v>115</v>
      </c>
      <c r="C131">
        <v>5.97</v>
      </c>
      <c r="D131">
        <v>14.03</v>
      </c>
      <c r="E131">
        <v>32</v>
      </c>
      <c r="F131">
        <v>108.8</v>
      </c>
      <c r="G131" t="str">
        <f t="shared" si="2"/>
        <v>VALID</v>
      </c>
    </row>
    <row r="132" spans="1:7" x14ac:dyDescent="0.3">
      <c r="A132" t="s">
        <v>110</v>
      </c>
      <c r="B132" t="s">
        <v>111</v>
      </c>
      <c r="C132">
        <v>5.09</v>
      </c>
      <c r="D132">
        <v>8.19</v>
      </c>
      <c r="E132">
        <v>45</v>
      </c>
      <c r="F132">
        <v>133.29</v>
      </c>
      <c r="G132" t="str">
        <f t="shared" si="2"/>
        <v>VALID</v>
      </c>
    </row>
    <row r="133" spans="1:7" x14ac:dyDescent="0.3">
      <c r="A133" t="s">
        <v>110</v>
      </c>
      <c r="B133" t="s">
        <v>111</v>
      </c>
      <c r="C133">
        <v>6.06</v>
      </c>
      <c r="D133">
        <v>10.41</v>
      </c>
      <c r="E133">
        <v>27</v>
      </c>
      <c r="F133">
        <v>89.6</v>
      </c>
      <c r="G133" t="str">
        <f t="shared" si="2"/>
        <v>VALID</v>
      </c>
    </row>
    <row r="134" spans="1:7" x14ac:dyDescent="0.3">
      <c r="A134" t="s">
        <v>110</v>
      </c>
      <c r="C134">
        <v>5.97</v>
      </c>
      <c r="D134">
        <v>14.03</v>
      </c>
      <c r="E134">
        <v>32</v>
      </c>
      <c r="F134">
        <v>108.8</v>
      </c>
      <c r="G134" t="str">
        <f t="shared" si="2"/>
        <v>VALID</v>
      </c>
    </row>
    <row r="135" spans="1:7" x14ac:dyDescent="0.3">
      <c r="A135" t="s">
        <v>110</v>
      </c>
      <c r="B135" t="s">
        <v>111</v>
      </c>
      <c r="C135">
        <v>6.06</v>
      </c>
      <c r="D135">
        <v>10.41</v>
      </c>
      <c r="E135">
        <v>27</v>
      </c>
      <c r="F135">
        <v>89.6</v>
      </c>
      <c r="G135" t="str">
        <f t="shared" si="2"/>
        <v>VALID</v>
      </c>
    </row>
    <row r="136" spans="1:7" x14ac:dyDescent="0.3">
      <c r="A136" t="s">
        <v>65</v>
      </c>
      <c r="B136" t="s">
        <v>109</v>
      </c>
      <c r="C136">
        <v>4.53</v>
      </c>
      <c r="D136">
        <v>10.25</v>
      </c>
      <c r="E136">
        <v>39</v>
      </c>
      <c r="F136">
        <v>124.11</v>
      </c>
      <c r="G136" t="str">
        <f t="shared" si="2"/>
        <v>VALID</v>
      </c>
    </row>
    <row r="137" spans="1:7" x14ac:dyDescent="0.3">
      <c r="A137" t="s">
        <v>65</v>
      </c>
      <c r="B137" t="s">
        <v>109</v>
      </c>
      <c r="C137">
        <v>4.53</v>
      </c>
      <c r="D137">
        <v>10.25</v>
      </c>
      <c r="E137">
        <v>39</v>
      </c>
      <c r="F137">
        <v>124.11</v>
      </c>
      <c r="G137" t="str">
        <f t="shared" si="2"/>
        <v>VALID</v>
      </c>
    </row>
    <row r="138" spans="1:7" x14ac:dyDescent="0.3">
      <c r="A138" t="s">
        <v>65</v>
      </c>
      <c r="B138" t="s">
        <v>111</v>
      </c>
      <c r="C138">
        <v>5.64</v>
      </c>
      <c r="D138">
        <v>10.119999999999999</v>
      </c>
      <c r="E138">
        <v>31</v>
      </c>
      <c r="F138">
        <v>90.96</v>
      </c>
      <c r="G138" t="str">
        <f t="shared" si="2"/>
        <v>VALID</v>
      </c>
    </row>
    <row r="139" spans="1:7" x14ac:dyDescent="0.3">
      <c r="A139" t="s">
        <v>65</v>
      </c>
      <c r="B139" t="s">
        <v>111</v>
      </c>
      <c r="C139">
        <v>3.4</v>
      </c>
      <c r="D139">
        <v>11.72</v>
      </c>
      <c r="E139">
        <v>18</v>
      </c>
      <c r="F139">
        <v>51.94</v>
      </c>
      <c r="G139" t="str">
        <f t="shared" si="2"/>
        <v>VALID</v>
      </c>
    </row>
    <row r="140" spans="1:7" x14ac:dyDescent="0.3">
      <c r="A140" t="s">
        <v>65</v>
      </c>
      <c r="B140" t="s">
        <v>111</v>
      </c>
      <c r="C140">
        <v>3.4</v>
      </c>
      <c r="D140">
        <v>11.72</v>
      </c>
      <c r="E140">
        <v>18</v>
      </c>
      <c r="F140">
        <v>51.94</v>
      </c>
      <c r="G140" t="str">
        <f t="shared" si="2"/>
        <v>VALID</v>
      </c>
    </row>
    <row r="141" spans="1:7" x14ac:dyDescent="0.3">
      <c r="A141" t="s">
        <v>65</v>
      </c>
      <c r="B141" t="s">
        <v>109</v>
      </c>
      <c r="C141">
        <v>4.53</v>
      </c>
      <c r="D141">
        <v>10.25</v>
      </c>
      <c r="E141">
        <v>39</v>
      </c>
      <c r="F141">
        <v>124.11</v>
      </c>
      <c r="G141" t="str">
        <f t="shared" si="2"/>
        <v>VALID</v>
      </c>
    </row>
    <row r="142" spans="1:7" x14ac:dyDescent="0.3">
      <c r="A142" t="s">
        <v>65</v>
      </c>
      <c r="B142" t="s">
        <v>111</v>
      </c>
      <c r="C142">
        <v>6.03</v>
      </c>
      <c r="D142">
        <v>10.55</v>
      </c>
      <c r="E142">
        <v>22</v>
      </c>
      <c r="F142">
        <v>69.44</v>
      </c>
      <c r="G142" t="str">
        <f t="shared" si="2"/>
        <v>VALID</v>
      </c>
    </row>
    <row r="143" spans="1:7" x14ac:dyDescent="0.3">
      <c r="A143" t="s">
        <v>90</v>
      </c>
      <c r="B143" t="s">
        <v>109</v>
      </c>
      <c r="C143">
        <v>6.53</v>
      </c>
      <c r="D143">
        <v>9.24</v>
      </c>
      <c r="E143">
        <v>13</v>
      </c>
      <c r="F143">
        <v>28.78</v>
      </c>
      <c r="G143" t="str">
        <f t="shared" si="2"/>
        <v>VALID</v>
      </c>
    </row>
    <row r="144" spans="1:7" x14ac:dyDescent="0.3">
      <c r="A144" t="s">
        <v>90</v>
      </c>
      <c r="B144" t="s">
        <v>109</v>
      </c>
      <c r="C144">
        <v>6.53</v>
      </c>
      <c r="D144">
        <v>9.24</v>
      </c>
      <c r="E144">
        <v>13</v>
      </c>
      <c r="F144">
        <v>28.78</v>
      </c>
      <c r="G144" t="str">
        <f t="shared" si="2"/>
        <v>VALID</v>
      </c>
    </row>
    <row r="145" spans="1:7" x14ac:dyDescent="0.3">
      <c r="A145" t="s">
        <v>90</v>
      </c>
      <c r="B145" t="s">
        <v>111</v>
      </c>
      <c r="C145">
        <v>7.47</v>
      </c>
      <c r="D145">
        <v>9.8000000000000007</v>
      </c>
      <c r="E145">
        <v>13</v>
      </c>
      <c r="F145">
        <v>28.51</v>
      </c>
      <c r="G145" t="str">
        <f t="shared" si="2"/>
        <v>VALID</v>
      </c>
    </row>
    <row r="146" spans="1:7" x14ac:dyDescent="0.3">
      <c r="A146" t="s">
        <v>90</v>
      </c>
      <c r="B146" t="s">
        <v>111</v>
      </c>
      <c r="C146">
        <v>7.47</v>
      </c>
      <c r="D146">
        <v>9.8000000000000007</v>
      </c>
      <c r="E146">
        <v>13</v>
      </c>
      <c r="F146">
        <v>28.51</v>
      </c>
      <c r="G146" t="str">
        <f t="shared" si="2"/>
        <v>VALID</v>
      </c>
    </row>
    <row r="147" spans="1:7" x14ac:dyDescent="0.3">
      <c r="A147" t="s">
        <v>90</v>
      </c>
      <c r="B147" t="s">
        <v>111</v>
      </c>
      <c r="C147">
        <v>7.47</v>
      </c>
      <c r="D147">
        <v>9.8000000000000007</v>
      </c>
      <c r="E147">
        <v>13</v>
      </c>
      <c r="F147">
        <v>28.51</v>
      </c>
      <c r="G147" t="str">
        <f t="shared" si="2"/>
        <v>VALID</v>
      </c>
    </row>
    <row r="148" spans="1:7" x14ac:dyDescent="0.3">
      <c r="A148" t="s">
        <v>90</v>
      </c>
      <c r="B148" t="s">
        <v>109</v>
      </c>
      <c r="C148">
        <v>6.53</v>
      </c>
      <c r="D148">
        <v>9.24</v>
      </c>
      <c r="E148">
        <v>13</v>
      </c>
      <c r="F148">
        <v>28.78</v>
      </c>
      <c r="G148" t="str">
        <f t="shared" si="2"/>
        <v>VALID</v>
      </c>
    </row>
    <row r="149" spans="1:7" x14ac:dyDescent="0.3">
      <c r="A149" t="s">
        <v>117</v>
      </c>
      <c r="B149" t="s">
        <v>113</v>
      </c>
      <c r="C149">
        <v>4.49</v>
      </c>
      <c r="D149">
        <v>5.22</v>
      </c>
      <c r="E149">
        <v>8</v>
      </c>
      <c r="F149">
        <v>19.25</v>
      </c>
      <c r="G149" t="str">
        <f t="shared" si="2"/>
        <v>VALID</v>
      </c>
    </row>
    <row r="150" spans="1:7" x14ac:dyDescent="0.3">
      <c r="A150" t="s">
        <v>117</v>
      </c>
      <c r="B150" t="s">
        <v>111</v>
      </c>
      <c r="C150">
        <v>5.9</v>
      </c>
      <c r="D150">
        <v>6.4</v>
      </c>
      <c r="E150">
        <v>27</v>
      </c>
      <c r="F150">
        <v>80.97</v>
      </c>
      <c r="G150" t="str">
        <f t="shared" si="2"/>
        <v>VALID</v>
      </c>
    </row>
    <row r="151" spans="1:7" x14ac:dyDescent="0.3">
      <c r="A151" t="s">
        <v>117</v>
      </c>
      <c r="B151" t="s">
        <v>111</v>
      </c>
      <c r="C151">
        <v>5.9</v>
      </c>
      <c r="D151">
        <v>6.4</v>
      </c>
      <c r="E151">
        <v>27</v>
      </c>
      <c r="F151">
        <v>80.97</v>
      </c>
      <c r="G151" t="str">
        <f t="shared" si="2"/>
        <v>VALID</v>
      </c>
    </row>
    <row r="152" spans="1:7" x14ac:dyDescent="0.3">
      <c r="A152" t="s">
        <v>117</v>
      </c>
      <c r="B152" t="s">
        <v>109</v>
      </c>
      <c r="C152">
        <v>2.88</v>
      </c>
      <c r="D152">
        <v>11.86</v>
      </c>
      <c r="E152">
        <v>25</v>
      </c>
      <c r="F152">
        <v>53.93</v>
      </c>
      <c r="G152" t="str">
        <f t="shared" si="2"/>
        <v>VALID</v>
      </c>
    </row>
    <row r="153" spans="1:7" x14ac:dyDescent="0.3">
      <c r="A153" t="s">
        <v>117</v>
      </c>
      <c r="B153" t="s">
        <v>109</v>
      </c>
      <c r="C153">
        <v>2.88</v>
      </c>
      <c r="D153">
        <v>11.86</v>
      </c>
      <c r="E153">
        <v>25</v>
      </c>
      <c r="F153">
        <v>53.93</v>
      </c>
      <c r="G153" t="str">
        <f t="shared" si="2"/>
        <v>VALID</v>
      </c>
    </row>
    <row r="154" spans="1:7" x14ac:dyDescent="0.3">
      <c r="A154" t="s">
        <v>117</v>
      </c>
      <c r="B154" t="s">
        <v>113</v>
      </c>
      <c r="C154">
        <v>4.49</v>
      </c>
      <c r="D154">
        <v>5.22</v>
      </c>
      <c r="E154">
        <v>8</v>
      </c>
      <c r="F154">
        <v>19.25</v>
      </c>
      <c r="G154" t="str">
        <f t="shared" si="2"/>
        <v>VALID</v>
      </c>
    </row>
    <row r="155" spans="1:7" x14ac:dyDescent="0.3">
      <c r="A155" t="s">
        <v>28</v>
      </c>
      <c r="B155" t="s">
        <v>111</v>
      </c>
      <c r="C155">
        <v>3.77</v>
      </c>
      <c r="D155">
        <v>5.99</v>
      </c>
      <c r="E155">
        <v>28</v>
      </c>
      <c r="F155">
        <v>51.34</v>
      </c>
      <c r="G155" t="str">
        <f t="shared" si="2"/>
        <v>VALID</v>
      </c>
    </row>
    <row r="156" spans="1:7" x14ac:dyDescent="0.3">
      <c r="A156" t="s">
        <v>28</v>
      </c>
      <c r="B156" t="s">
        <v>113</v>
      </c>
      <c r="C156">
        <v>3.49</v>
      </c>
      <c r="D156">
        <v>11.86</v>
      </c>
      <c r="E156">
        <v>35</v>
      </c>
      <c r="F156">
        <v>75.45</v>
      </c>
      <c r="G156" t="str">
        <f t="shared" si="2"/>
        <v>VALID</v>
      </c>
    </row>
    <row r="157" spans="1:7" x14ac:dyDescent="0.3">
      <c r="A157" t="s">
        <v>28</v>
      </c>
      <c r="B157" t="s">
        <v>111</v>
      </c>
      <c r="C157">
        <v>3.77</v>
      </c>
      <c r="D157">
        <v>5.99</v>
      </c>
      <c r="E157">
        <v>28</v>
      </c>
      <c r="F157">
        <v>51.34</v>
      </c>
      <c r="G157" t="str">
        <f t="shared" si="2"/>
        <v>VALID</v>
      </c>
    </row>
    <row r="158" spans="1:7" x14ac:dyDescent="0.3">
      <c r="A158" t="s">
        <v>28</v>
      </c>
      <c r="B158" t="s">
        <v>113</v>
      </c>
      <c r="C158">
        <v>3.49</v>
      </c>
      <c r="D158">
        <v>11.86</v>
      </c>
      <c r="E158">
        <v>35</v>
      </c>
      <c r="F158">
        <v>75.45</v>
      </c>
      <c r="G158" t="str">
        <f t="shared" si="2"/>
        <v>VALID</v>
      </c>
    </row>
    <row r="159" spans="1:7" x14ac:dyDescent="0.3">
      <c r="A159" t="s">
        <v>28</v>
      </c>
      <c r="B159" t="s">
        <v>113</v>
      </c>
      <c r="C159">
        <v>3.49</v>
      </c>
      <c r="D159">
        <v>11.86</v>
      </c>
      <c r="E159">
        <v>35</v>
      </c>
      <c r="F159">
        <v>75.45</v>
      </c>
      <c r="G159" t="str">
        <f t="shared" si="2"/>
        <v>VALID</v>
      </c>
    </row>
    <row r="160" spans="1:7" x14ac:dyDescent="0.3">
      <c r="A160" t="s">
        <v>123</v>
      </c>
      <c r="B160" t="s">
        <v>108</v>
      </c>
      <c r="C160">
        <v>2.42</v>
      </c>
      <c r="D160">
        <v>14.54</v>
      </c>
      <c r="E160">
        <v>25</v>
      </c>
      <c r="F160">
        <v>48.11</v>
      </c>
      <c r="G160" t="str">
        <f t="shared" si="2"/>
        <v>VALID</v>
      </c>
    </row>
    <row r="161" spans="1:7" x14ac:dyDescent="0.3">
      <c r="A161" t="s">
        <v>123</v>
      </c>
      <c r="B161" t="s">
        <v>108</v>
      </c>
      <c r="C161">
        <v>2.42</v>
      </c>
      <c r="D161">
        <v>14.54</v>
      </c>
      <c r="E161">
        <v>25</v>
      </c>
      <c r="F161">
        <v>48.11</v>
      </c>
      <c r="G161" t="str">
        <f t="shared" si="2"/>
        <v>VALID</v>
      </c>
    </row>
    <row r="162" spans="1:7" x14ac:dyDescent="0.3">
      <c r="A162" t="s">
        <v>123</v>
      </c>
      <c r="B162" t="s">
        <v>108</v>
      </c>
      <c r="C162">
        <v>2.42</v>
      </c>
      <c r="D162">
        <v>14.54</v>
      </c>
      <c r="E162">
        <v>25</v>
      </c>
      <c r="F162">
        <v>48.11</v>
      </c>
      <c r="G162" t="str">
        <f t="shared" si="2"/>
        <v>VALID</v>
      </c>
    </row>
    <row r="163" spans="1:7" x14ac:dyDescent="0.3">
      <c r="A163" t="s">
        <v>123</v>
      </c>
      <c r="B163" t="s">
        <v>113</v>
      </c>
      <c r="C163">
        <v>6.27</v>
      </c>
      <c r="D163">
        <v>14.24</v>
      </c>
      <c r="E163">
        <v>29</v>
      </c>
      <c r="F163">
        <v>94.28</v>
      </c>
      <c r="G163" t="str">
        <f t="shared" si="2"/>
        <v>VALID</v>
      </c>
    </row>
    <row r="164" spans="1:7" x14ac:dyDescent="0.3">
      <c r="A164" t="s">
        <v>123</v>
      </c>
      <c r="B164" t="s">
        <v>108</v>
      </c>
      <c r="C164">
        <v>2.42</v>
      </c>
      <c r="D164">
        <v>14.54</v>
      </c>
      <c r="E164">
        <v>25</v>
      </c>
      <c r="F164">
        <v>48.11</v>
      </c>
      <c r="G164" t="str">
        <f t="shared" si="2"/>
        <v>VALID</v>
      </c>
    </row>
    <row r="165" spans="1:7" x14ac:dyDescent="0.3">
      <c r="A165" t="s">
        <v>56</v>
      </c>
      <c r="B165" t="s">
        <v>111</v>
      </c>
      <c r="C165">
        <v>6.58</v>
      </c>
      <c r="D165">
        <v>6.43</v>
      </c>
      <c r="E165">
        <v>16</v>
      </c>
      <c r="F165">
        <v>38.409999999999997</v>
      </c>
      <c r="G165" t="str">
        <f t="shared" si="2"/>
        <v>VALID</v>
      </c>
    </row>
    <row r="166" spans="1:7" x14ac:dyDescent="0.3">
      <c r="A166" t="s">
        <v>35</v>
      </c>
      <c r="B166" t="s">
        <v>115</v>
      </c>
      <c r="C166">
        <v>3.74</v>
      </c>
      <c r="D166">
        <v>12.17</v>
      </c>
      <c r="E166">
        <v>13</v>
      </c>
      <c r="F166">
        <v>40.98</v>
      </c>
      <c r="G166" t="str">
        <f t="shared" si="2"/>
        <v>VALID</v>
      </c>
    </row>
    <row r="167" spans="1:7" x14ac:dyDescent="0.3">
      <c r="A167" t="s">
        <v>35</v>
      </c>
      <c r="B167" t="s">
        <v>108</v>
      </c>
      <c r="C167">
        <v>7.4</v>
      </c>
      <c r="D167">
        <v>10.69</v>
      </c>
      <c r="E167">
        <v>11</v>
      </c>
      <c r="F167">
        <v>35.020000000000003</v>
      </c>
      <c r="G167" t="str">
        <f t="shared" si="2"/>
        <v>VALID</v>
      </c>
    </row>
    <row r="168" spans="1:7" x14ac:dyDescent="0.3">
      <c r="A168" t="s">
        <v>35</v>
      </c>
      <c r="B168" t="s">
        <v>108</v>
      </c>
      <c r="C168">
        <v>7.4</v>
      </c>
      <c r="D168">
        <v>10.69</v>
      </c>
      <c r="E168">
        <v>11</v>
      </c>
      <c r="F168">
        <v>35.020000000000003</v>
      </c>
      <c r="G168" t="str">
        <f t="shared" si="2"/>
        <v>VALID</v>
      </c>
    </row>
    <row r="169" spans="1:7" x14ac:dyDescent="0.3">
      <c r="A169" t="s">
        <v>35</v>
      </c>
      <c r="B169" t="s">
        <v>109</v>
      </c>
      <c r="C169">
        <v>4.63</v>
      </c>
      <c r="D169">
        <v>13</v>
      </c>
      <c r="E169">
        <v>31</v>
      </c>
      <c r="F169">
        <v>77.08</v>
      </c>
      <c r="G169" t="str">
        <f t="shared" si="2"/>
        <v>VALID</v>
      </c>
    </row>
    <row r="170" spans="1:7" x14ac:dyDescent="0.3">
      <c r="A170" t="s">
        <v>35</v>
      </c>
      <c r="B170" t="s">
        <v>115</v>
      </c>
      <c r="C170">
        <v>3.74</v>
      </c>
      <c r="D170">
        <v>12.17</v>
      </c>
      <c r="E170">
        <v>13</v>
      </c>
      <c r="F170">
        <v>40.98</v>
      </c>
      <c r="G170" t="str">
        <f t="shared" si="2"/>
        <v>VALID</v>
      </c>
    </row>
    <row r="171" spans="1:7" x14ac:dyDescent="0.3">
      <c r="A171" t="s">
        <v>35</v>
      </c>
      <c r="B171" t="s">
        <v>108</v>
      </c>
      <c r="C171">
        <v>7.4</v>
      </c>
      <c r="D171">
        <v>10.69</v>
      </c>
      <c r="E171">
        <v>11</v>
      </c>
      <c r="F171">
        <v>35.020000000000003</v>
      </c>
      <c r="G171" t="str">
        <f t="shared" si="2"/>
        <v>VALID</v>
      </c>
    </row>
    <row r="172" spans="1:7" x14ac:dyDescent="0.3">
      <c r="A172" t="s">
        <v>35</v>
      </c>
      <c r="B172" t="s">
        <v>108</v>
      </c>
      <c r="C172">
        <v>7.4</v>
      </c>
      <c r="D172">
        <v>10.69</v>
      </c>
      <c r="E172">
        <v>11</v>
      </c>
      <c r="F172">
        <v>35.020000000000003</v>
      </c>
      <c r="G172" t="str">
        <f t="shared" si="2"/>
        <v>VALID</v>
      </c>
    </row>
    <row r="173" spans="1:7" x14ac:dyDescent="0.3">
      <c r="A173" t="s">
        <v>35</v>
      </c>
      <c r="B173" t="s">
        <v>108</v>
      </c>
      <c r="C173">
        <v>7.4</v>
      </c>
      <c r="D173">
        <v>10.69</v>
      </c>
      <c r="E173">
        <v>11</v>
      </c>
      <c r="F173">
        <v>35.020000000000003</v>
      </c>
      <c r="G173" t="str">
        <f t="shared" si="2"/>
        <v>VALID</v>
      </c>
    </row>
    <row r="174" spans="1:7" x14ac:dyDescent="0.3">
      <c r="A174" t="s">
        <v>67</v>
      </c>
      <c r="B174" t="s">
        <v>111</v>
      </c>
      <c r="C174">
        <v>2.2999999999999998</v>
      </c>
      <c r="D174">
        <v>5.9</v>
      </c>
      <c r="E174">
        <v>16</v>
      </c>
      <c r="F174">
        <v>31.5</v>
      </c>
      <c r="G174" t="str">
        <f t="shared" si="2"/>
        <v>VALID</v>
      </c>
    </row>
    <row r="175" spans="1:7" x14ac:dyDescent="0.3">
      <c r="A175" t="s">
        <v>67</v>
      </c>
      <c r="B175" t="s">
        <v>111</v>
      </c>
      <c r="C175">
        <v>2.2999999999999998</v>
      </c>
      <c r="D175">
        <v>5.9</v>
      </c>
      <c r="E175">
        <v>16</v>
      </c>
      <c r="F175">
        <v>31.5</v>
      </c>
      <c r="G175" t="str">
        <f t="shared" si="2"/>
        <v>VALID</v>
      </c>
    </row>
    <row r="176" spans="1:7" x14ac:dyDescent="0.3">
      <c r="A176" t="s">
        <v>67</v>
      </c>
      <c r="B176" t="s">
        <v>111</v>
      </c>
      <c r="C176">
        <v>2.2999999999999998</v>
      </c>
      <c r="D176">
        <v>5.9</v>
      </c>
      <c r="E176">
        <v>16</v>
      </c>
      <c r="F176">
        <v>31.5</v>
      </c>
      <c r="G176" t="str">
        <f t="shared" si="2"/>
        <v>VALID</v>
      </c>
    </row>
    <row r="177" spans="1:7" x14ac:dyDescent="0.3">
      <c r="A177" t="s">
        <v>94</v>
      </c>
      <c r="B177" t="s">
        <v>113</v>
      </c>
      <c r="C177">
        <v>3.16</v>
      </c>
      <c r="D177">
        <v>7.9</v>
      </c>
      <c r="E177">
        <v>13</v>
      </c>
      <c r="F177">
        <v>29.83</v>
      </c>
      <c r="G177" t="str">
        <f t="shared" si="2"/>
        <v>VALID</v>
      </c>
    </row>
    <row r="178" spans="1:7" x14ac:dyDescent="0.3">
      <c r="A178" t="s">
        <v>94</v>
      </c>
      <c r="B178" t="s">
        <v>113</v>
      </c>
      <c r="C178">
        <v>6.67</v>
      </c>
      <c r="D178">
        <v>6.66</v>
      </c>
      <c r="E178">
        <v>9</v>
      </c>
      <c r="F178">
        <v>27.63</v>
      </c>
      <c r="G178" t="str">
        <f t="shared" si="2"/>
        <v>VALID</v>
      </c>
    </row>
    <row r="179" spans="1:7" x14ac:dyDescent="0.3">
      <c r="A179" t="s">
        <v>94</v>
      </c>
      <c r="B179" t="s">
        <v>113</v>
      </c>
      <c r="C179">
        <v>3.16</v>
      </c>
      <c r="D179">
        <v>7.9</v>
      </c>
      <c r="E179">
        <v>13</v>
      </c>
      <c r="F179">
        <v>29.83</v>
      </c>
      <c r="G179" t="str">
        <f t="shared" si="2"/>
        <v>VALID</v>
      </c>
    </row>
    <row r="180" spans="1:7" x14ac:dyDescent="0.3">
      <c r="A180" t="s">
        <v>94</v>
      </c>
      <c r="B180" t="s">
        <v>113</v>
      </c>
      <c r="C180">
        <v>6.67</v>
      </c>
      <c r="D180">
        <v>6.66</v>
      </c>
      <c r="E180">
        <v>9</v>
      </c>
      <c r="F180">
        <v>27.63</v>
      </c>
      <c r="G180" t="str">
        <f t="shared" si="2"/>
        <v>VALID</v>
      </c>
    </row>
    <row r="181" spans="1:7" x14ac:dyDescent="0.3">
      <c r="A181" t="s">
        <v>94</v>
      </c>
      <c r="B181" t="s">
        <v>113</v>
      </c>
      <c r="C181">
        <v>3.01</v>
      </c>
      <c r="D181">
        <v>11.29</v>
      </c>
      <c r="E181">
        <v>13</v>
      </c>
      <c r="F181">
        <v>42.39</v>
      </c>
      <c r="G181" t="str">
        <f t="shared" si="2"/>
        <v>VALID</v>
      </c>
    </row>
    <row r="182" spans="1:7" x14ac:dyDescent="0.3">
      <c r="A182" t="s">
        <v>127</v>
      </c>
      <c r="B182" t="s">
        <v>109</v>
      </c>
      <c r="C182">
        <v>2.54</v>
      </c>
      <c r="D182">
        <v>9.1300000000000008</v>
      </c>
      <c r="E182">
        <v>41</v>
      </c>
      <c r="F182">
        <v>109.91</v>
      </c>
      <c r="G182" t="str">
        <f t="shared" si="2"/>
        <v>VALID</v>
      </c>
    </row>
    <row r="183" spans="1:7" x14ac:dyDescent="0.3">
      <c r="A183" t="s">
        <v>124</v>
      </c>
      <c r="B183" t="s">
        <v>115</v>
      </c>
      <c r="C183">
        <v>2.8</v>
      </c>
      <c r="D183">
        <v>9.44</v>
      </c>
      <c r="E183">
        <v>42</v>
      </c>
      <c r="G183" t="str">
        <f t="shared" si="2"/>
        <v>VALID</v>
      </c>
    </row>
    <row r="184" spans="1:7" x14ac:dyDescent="0.3">
      <c r="A184" t="s">
        <v>124</v>
      </c>
      <c r="B184" t="s">
        <v>115</v>
      </c>
      <c r="C184">
        <v>2.8</v>
      </c>
      <c r="D184">
        <v>9.44</v>
      </c>
      <c r="E184">
        <v>42</v>
      </c>
      <c r="F184">
        <v>84.3</v>
      </c>
      <c r="G184" t="str">
        <f t="shared" si="2"/>
        <v>VALID</v>
      </c>
    </row>
    <row r="185" spans="1:7" x14ac:dyDescent="0.3">
      <c r="A185" t="s">
        <v>97</v>
      </c>
      <c r="B185" t="s">
        <v>108</v>
      </c>
      <c r="C185">
        <v>3.56</v>
      </c>
      <c r="D185">
        <v>6.47</v>
      </c>
      <c r="E185">
        <v>40</v>
      </c>
      <c r="F185">
        <v>105.07</v>
      </c>
      <c r="G185" t="str">
        <f t="shared" si="2"/>
        <v>VALID</v>
      </c>
    </row>
    <row r="186" spans="1:7" x14ac:dyDescent="0.3">
      <c r="A186" t="s">
        <v>97</v>
      </c>
      <c r="B186" t="s">
        <v>108</v>
      </c>
      <c r="C186">
        <v>5.96</v>
      </c>
      <c r="D186">
        <v>9.15</v>
      </c>
      <c r="E186">
        <v>15</v>
      </c>
      <c r="F186">
        <v>31.66</v>
      </c>
      <c r="G186" t="str">
        <f t="shared" si="2"/>
        <v>VALID</v>
      </c>
    </row>
    <row r="187" spans="1:7" x14ac:dyDescent="0.3">
      <c r="A187" t="s">
        <v>97</v>
      </c>
      <c r="B187" t="s">
        <v>108</v>
      </c>
      <c r="C187">
        <v>5.96</v>
      </c>
      <c r="D187">
        <v>9.15</v>
      </c>
      <c r="E187">
        <v>15</v>
      </c>
      <c r="F187">
        <v>31.66</v>
      </c>
      <c r="G187" t="str">
        <f t="shared" si="2"/>
        <v>VALID</v>
      </c>
    </row>
    <row r="188" spans="1:7" x14ac:dyDescent="0.3">
      <c r="A188" t="s">
        <v>97</v>
      </c>
      <c r="B188" t="s">
        <v>108</v>
      </c>
      <c r="C188">
        <v>3.56</v>
      </c>
      <c r="D188">
        <v>6.47</v>
      </c>
      <c r="E188">
        <v>40</v>
      </c>
      <c r="F188">
        <v>105.07</v>
      </c>
      <c r="G188" t="str">
        <f t="shared" si="2"/>
        <v>VALID</v>
      </c>
    </row>
    <row r="189" spans="1:7" x14ac:dyDescent="0.3">
      <c r="A189" t="s">
        <v>97</v>
      </c>
      <c r="B189" t="s">
        <v>108</v>
      </c>
      <c r="C189">
        <v>5.96</v>
      </c>
      <c r="D189">
        <v>9.15</v>
      </c>
      <c r="E189">
        <v>15</v>
      </c>
      <c r="F189">
        <v>31.66</v>
      </c>
      <c r="G189" t="str">
        <f t="shared" si="2"/>
        <v>VALID</v>
      </c>
    </row>
    <row r="190" spans="1:7" x14ac:dyDescent="0.3">
      <c r="A190" t="s">
        <v>97</v>
      </c>
      <c r="B190" t="s">
        <v>108</v>
      </c>
      <c r="C190">
        <v>5.96</v>
      </c>
      <c r="D190">
        <v>9.15</v>
      </c>
      <c r="E190">
        <v>15</v>
      </c>
      <c r="F190">
        <v>31.66</v>
      </c>
      <c r="G190" t="str">
        <f t="shared" si="2"/>
        <v>VALID</v>
      </c>
    </row>
    <row r="191" spans="1:7" x14ac:dyDescent="0.3">
      <c r="A191" t="s">
        <v>66</v>
      </c>
      <c r="B191" t="s">
        <v>115</v>
      </c>
      <c r="C191">
        <v>5.3</v>
      </c>
      <c r="D191">
        <v>5.18</v>
      </c>
      <c r="E191">
        <v>44</v>
      </c>
      <c r="F191">
        <v>85.81</v>
      </c>
      <c r="G191" t="str">
        <f t="shared" si="2"/>
        <v>VALID</v>
      </c>
    </row>
    <row r="192" spans="1:7" x14ac:dyDescent="0.3">
      <c r="A192" t="s">
        <v>116</v>
      </c>
      <c r="B192" t="s">
        <v>111</v>
      </c>
      <c r="C192">
        <v>2.2400000000000002</v>
      </c>
      <c r="D192">
        <v>10.74</v>
      </c>
      <c r="E192">
        <v>26</v>
      </c>
      <c r="F192">
        <v>84.26</v>
      </c>
      <c r="G192" t="str">
        <f t="shared" si="2"/>
        <v>VALID</v>
      </c>
    </row>
    <row r="193" spans="1:7" x14ac:dyDescent="0.3">
      <c r="A193" t="s">
        <v>116</v>
      </c>
      <c r="B193" t="s">
        <v>111</v>
      </c>
      <c r="C193">
        <v>2.2400000000000002</v>
      </c>
      <c r="D193">
        <v>10.74</v>
      </c>
      <c r="E193">
        <v>26</v>
      </c>
      <c r="F193">
        <v>84.26</v>
      </c>
      <c r="G193" t="str">
        <f t="shared" si="2"/>
        <v>VALID</v>
      </c>
    </row>
    <row r="194" spans="1:7" x14ac:dyDescent="0.3">
      <c r="A194" t="s">
        <v>76</v>
      </c>
      <c r="B194" t="s">
        <v>109</v>
      </c>
      <c r="C194">
        <v>5.15</v>
      </c>
      <c r="D194">
        <v>5.82</v>
      </c>
      <c r="E194">
        <v>21</v>
      </c>
      <c r="F194">
        <v>38.020000000000003</v>
      </c>
      <c r="G194" t="str">
        <f t="shared" ref="G194:G257" si="3">IF(ISNUMBER(DATEVALUE(A194)),"VALID","INVALID")</f>
        <v>VALID</v>
      </c>
    </row>
    <row r="195" spans="1:7" x14ac:dyDescent="0.3">
      <c r="A195" t="s">
        <v>47</v>
      </c>
      <c r="B195" t="s">
        <v>115</v>
      </c>
      <c r="C195">
        <v>6.4</v>
      </c>
      <c r="D195">
        <v>13.32</v>
      </c>
      <c r="E195">
        <v>43</v>
      </c>
      <c r="F195">
        <v>126.14</v>
      </c>
      <c r="G195" t="str">
        <f t="shared" si="3"/>
        <v>VALID</v>
      </c>
    </row>
    <row r="196" spans="1:7" x14ac:dyDescent="0.3">
      <c r="A196" t="s">
        <v>47</v>
      </c>
      <c r="B196" t="s">
        <v>115</v>
      </c>
      <c r="C196">
        <v>6.4</v>
      </c>
      <c r="D196">
        <v>13.32</v>
      </c>
      <c r="E196">
        <v>43</v>
      </c>
      <c r="F196">
        <v>126.14</v>
      </c>
      <c r="G196" t="str">
        <f t="shared" si="3"/>
        <v>VALID</v>
      </c>
    </row>
    <row r="197" spans="1:7" x14ac:dyDescent="0.3">
      <c r="A197" t="s">
        <v>47</v>
      </c>
      <c r="B197" t="s">
        <v>115</v>
      </c>
      <c r="C197">
        <v>6.4</v>
      </c>
      <c r="D197">
        <v>13.32</v>
      </c>
      <c r="E197">
        <v>43</v>
      </c>
      <c r="F197">
        <v>126.14</v>
      </c>
      <c r="G197" t="str">
        <f t="shared" si="3"/>
        <v>VALID</v>
      </c>
    </row>
    <row r="198" spans="1:7" x14ac:dyDescent="0.3">
      <c r="A198" t="s">
        <v>33</v>
      </c>
      <c r="B198" t="s">
        <v>108</v>
      </c>
      <c r="C198">
        <v>7.09</v>
      </c>
      <c r="D198">
        <v>12.15</v>
      </c>
      <c r="E198">
        <v>27</v>
      </c>
      <c r="F198">
        <v>81.14</v>
      </c>
      <c r="G198" t="str">
        <f t="shared" si="3"/>
        <v>VALID</v>
      </c>
    </row>
    <row r="199" spans="1:7" x14ac:dyDescent="0.3">
      <c r="A199" t="s">
        <v>33</v>
      </c>
      <c r="B199" t="s">
        <v>108</v>
      </c>
      <c r="C199">
        <v>2.35</v>
      </c>
      <c r="D199">
        <v>5.6</v>
      </c>
      <c r="E199">
        <v>24</v>
      </c>
      <c r="F199">
        <v>66.959999999999994</v>
      </c>
      <c r="G199" t="str">
        <f t="shared" si="3"/>
        <v>VALID</v>
      </c>
    </row>
    <row r="200" spans="1:7" x14ac:dyDescent="0.3">
      <c r="A200" t="s">
        <v>61</v>
      </c>
      <c r="B200" t="s">
        <v>113</v>
      </c>
      <c r="C200">
        <v>6.75</v>
      </c>
      <c r="D200">
        <v>7.28</v>
      </c>
      <c r="E200">
        <v>31</v>
      </c>
      <c r="F200">
        <v>96.4</v>
      </c>
      <c r="G200" t="str">
        <f t="shared" si="3"/>
        <v>VALID</v>
      </c>
    </row>
    <row r="201" spans="1:7" x14ac:dyDescent="0.3">
      <c r="A201" t="s">
        <v>61</v>
      </c>
      <c r="B201" t="s">
        <v>111</v>
      </c>
      <c r="C201">
        <v>5.89</v>
      </c>
      <c r="D201">
        <v>9.36</v>
      </c>
      <c r="E201">
        <v>43</v>
      </c>
      <c r="F201">
        <v>84.29</v>
      </c>
      <c r="G201" t="str">
        <f t="shared" si="3"/>
        <v>VALID</v>
      </c>
    </row>
    <row r="202" spans="1:7" x14ac:dyDescent="0.3">
      <c r="A202" t="s">
        <v>61</v>
      </c>
      <c r="B202" t="s">
        <v>111</v>
      </c>
      <c r="C202">
        <v>3.43</v>
      </c>
      <c r="D202">
        <v>12.24</v>
      </c>
      <c r="E202">
        <v>22</v>
      </c>
      <c r="F202">
        <v>55.07</v>
      </c>
      <c r="G202" t="str">
        <f t="shared" si="3"/>
        <v>VALID</v>
      </c>
    </row>
    <row r="203" spans="1:7" x14ac:dyDescent="0.3">
      <c r="A203" t="s">
        <v>61</v>
      </c>
      <c r="B203" t="s">
        <v>109</v>
      </c>
      <c r="C203">
        <v>4.0599999999999996</v>
      </c>
      <c r="D203">
        <v>13.97</v>
      </c>
      <c r="E203">
        <v>29</v>
      </c>
      <c r="F203">
        <v>94.81</v>
      </c>
      <c r="G203" t="str">
        <f t="shared" si="3"/>
        <v>VALID</v>
      </c>
    </row>
    <row r="204" spans="1:7" x14ac:dyDescent="0.3">
      <c r="A204" t="s">
        <v>61</v>
      </c>
      <c r="B204" t="s">
        <v>111</v>
      </c>
      <c r="C204">
        <v>5.89</v>
      </c>
      <c r="D204">
        <v>9.36</v>
      </c>
      <c r="E204">
        <v>43</v>
      </c>
      <c r="F204">
        <v>84.29</v>
      </c>
      <c r="G204" t="str">
        <f t="shared" si="3"/>
        <v>VALID</v>
      </c>
    </row>
    <row r="205" spans="1:7" x14ac:dyDescent="0.3">
      <c r="A205" t="s">
        <v>61</v>
      </c>
      <c r="B205" t="s">
        <v>111</v>
      </c>
      <c r="C205">
        <v>3.43</v>
      </c>
      <c r="D205">
        <v>12.24</v>
      </c>
      <c r="E205">
        <v>22</v>
      </c>
      <c r="G205" t="str">
        <f t="shared" si="3"/>
        <v>VALID</v>
      </c>
    </row>
    <row r="206" spans="1:7" x14ac:dyDescent="0.3">
      <c r="A206" t="s">
        <v>61</v>
      </c>
      <c r="B206" t="s">
        <v>111</v>
      </c>
      <c r="C206">
        <v>5.89</v>
      </c>
      <c r="D206">
        <v>9.36</v>
      </c>
      <c r="E206">
        <v>43</v>
      </c>
      <c r="F206">
        <v>84.29</v>
      </c>
      <c r="G206" t="str">
        <f t="shared" si="3"/>
        <v>VALID</v>
      </c>
    </row>
    <row r="207" spans="1:7" x14ac:dyDescent="0.3">
      <c r="A207" t="s">
        <v>61</v>
      </c>
      <c r="B207" t="s">
        <v>109</v>
      </c>
      <c r="C207">
        <v>4.0599999999999996</v>
      </c>
      <c r="D207">
        <v>13.97</v>
      </c>
      <c r="E207">
        <v>29</v>
      </c>
      <c r="F207">
        <v>94.81</v>
      </c>
      <c r="G207" t="str">
        <f t="shared" si="3"/>
        <v>VALID</v>
      </c>
    </row>
    <row r="208" spans="1:7" x14ac:dyDescent="0.3">
      <c r="A208" t="s">
        <v>61</v>
      </c>
      <c r="B208" t="s">
        <v>109</v>
      </c>
      <c r="C208">
        <v>4.0599999999999996</v>
      </c>
      <c r="D208">
        <v>13.97</v>
      </c>
      <c r="E208">
        <v>29</v>
      </c>
      <c r="F208">
        <v>94.81</v>
      </c>
      <c r="G208" t="str">
        <f t="shared" si="3"/>
        <v>VALID</v>
      </c>
    </row>
    <row r="209" spans="1:7" x14ac:dyDescent="0.3">
      <c r="A209" t="s">
        <v>61</v>
      </c>
      <c r="B209" t="s">
        <v>111</v>
      </c>
      <c r="C209">
        <v>3.43</v>
      </c>
      <c r="D209">
        <v>12.24</v>
      </c>
      <c r="E209">
        <v>22</v>
      </c>
      <c r="F209">
        <v>55.07</v>
      </c>
      <c r="G209" t="str">
        <f t="shared" si="3"/>
        <v>VALID</v>
      </c>
    </row>
    <row r="210" spans="1:7" x14ac:dyDescent="0.3">
      <c r="A210" t="s">
        <v>71</v>
      </c>
      <c r="B210" t="s">
        <v>109</v>
      </c>
      <c r="C210">
        <v>2.12</v>
      </c>
      <c r="D210">
        <v>5.52</v>
      </c>
      <c r="E210">
        <v>20</v>
      </c>
      <c r="F210">
        <v>55.94</v>
      </c>
      <c r="G210" t="str">
        <f t="shared" si="3"/>
        <v>VALID</v>
      </c>
    </row>
    <row r="211" spans="1:7" x14ac:dyDescent="0.3">
      <c r="A211" t="s">
        <v>71</v>
      </c>
      <c r="B211" t="s">
        <v>108</v>
      </c>
      <c r="C211">
        <v>7.82</v>
      </c>
      <c r="D211">
        <v>10.84</v>
      </c>
      <c r="E211">
        <v>20</v>
      </c>
      <c r="F211">
        <v>38.619999999999997</v>
      </c>
      <c r="G211" t="str">
        <f t="shared" si="3"/>
        <v>VALID</v>
      </c>
    </row>
    <row r="212" spans="1:7" x14ac:dyDescent="0.3">
      <c r="A212" t="s">
        <v>71</v>
      </c>
      <c r="B212" t="s">
        <v>109</v>
      </c>
      <c r="C212">
        <v>2.12</v>
      </c>
      <c r="D212">
        <v>5.52</v>
      </c>
      <c r="E212">
        <v>20</v>
      </c>
      <c r="F212">
        <v>55.94</v>
      </c>
      <c r="G212" t="str">
        <f t="shared" si="3"/>
        <v>VALID</v>
      </c>
    </row>
    <row r="213" spans="1:7" x14ac:dyDescent="0.3">
      <c r="A213" t="s">
        <v>71</v>
      </c>
      <c r="B213" t="s">
        <v>109</v>
      </c>
      <c r="C213">
        <v>2.12</v>
      </c>
      <c r="D213">
        <v>5.52</v>
      </c>
      <c r="E213">
        <v>20</v>
      </c>
      <c r="F213">
        <v>55.94</v>
      </c>
      <c r="G213" t="str">
        <f t="shared" si="3"/>
        <v>VALID</v>
      </c>
    </row>
    <row r="214" spans="1:7" x14ac:dyDescent="0.3">
      <c r="A214" t="s">
        <v>83</v>
      </c>
      <c r="B214" t="s">
        <v>111</v>
      </c>
      <c r="C214">
        <v>6.24</v>
      </c>
      <c r="D214">
        <v>8.57</v>
      </c>
      <c r="E214">
        <v>11</v>
      </c>
      <c r="F214">
        <v>34.72</v>
      </c>
      <c r="G214" t="str">
        <f t="shared" si="3"/>
        <v>VALID</v>
      </c>
    </row>
    <row r="215" spans="1:7" x14ac:dyDescent="0.3">
      <c r="A215" t="s">
        <v>50</v>
      </c>
      <c r="B215" t="s">
        <v>109</v>
      </c>
      <c r="C215">
        <v>5.57</v>
      </c>
      <c r="D215">
        <v>5.07</v>
      </c>
      <c r="E215">
        <v>16</v>
      </c>
      <c r="F215">
        <v>42.19</v>
      </c>
      <c r="G215" t="str">
        <f t="shared" si="3"/>
        <v>VALID</v>
      </c>
    </row>
    <row r="216" spans="1:7" x14ac:dyDescent="0.3">
      <c r="A216" t="s">
        <v>50</v>
      </c>
      <c r="B216" t="s">
        <v>109</v>
      </c>
      <c r="C216">
        <v>5.57</v>
      </c>
      <c r="D216">
        <v>5.07</v>
      </c>
      <c r="E216">
        <v>16</v>
      </c>
      <c r="F216">
        <v>42.19</v>
      </c>
      <c r="G216" t="str">
        <f t="shared" si="3"/>
        <v>VALID</v>
      </c>
    </row>
    <row r="217" spans="1:7" x14ac:dyDescent="0.3">
      <c r="A217" t="s">
        <v>122</v>
      </c>
      <c r="B217" t="s">
        <v>108</v>
      </c>
      <c r="C217">
        <v>3.42</v>
      </c>
      <c r="D217">
        <v>14.99</v>
      </c>
      <c r="E217">
        <v>44</v>
      </c>
      <c r="F217">
        <v>105.1</v>
      </c>
      <c r="G217" t="str">
        <f t="shared" si="3"/>
        <v>VALID</v>
      </c>
    </row>
    <row r="218" spans="1:7" x14ac:dyDescent="0.3">
      <c r="A218" t="s">
        <v>122</v>
      </c>
      <c r="B218" t="s">
        <v>108</v>
      </c>
      <c r="C218">
        <v>3.42</v>
      </c>
      <c r="D218">
        <v>14.99</v>
      </c>
      <c r="E218">
        <v>44</v>
      </c>
      <c r="F218">
        <v>105.1</v>
      </c>
      <c r="G218" t="str">
        <f t="shared" si="3"/>
        <v>VALID</v>
      </c>
    </row>
    <row r="219" spans="1:7" x14ac:dyDescent="0.3">
      <c r="A219" t="s">
        <v>122</v>
      </c>
      <c r="B219" t="s">
        <v>108</v>
      </c>
      <c r="C219">
        <v>3.42</v>
      </c>
      <c r="D219">
        <v>14.99</v>
      </c>
      <c r="E219">
        <v>44</v>
      </c>
      <c r="F219">
        <v>105.1</v>
      </c>
      <c r="G219" t="str">
        <f t="shared" si="3"/>
        <v>VALID</v>
      </c>
    </row>
    <row r="220" spans="1:7" x14ac:dyDescent="0.3">
      <c r="A220" t="s">
        <v>68</v>
      </c>
      <c r="B220" t="s">
        <v>113</v>
      </c>
      <c r="C220">
        <v>7.76</v>
      </c>
      <c r="D220">
        <v>13.19</v>
      </c>
      <c r="E220">
        <v>40</v>
      </c>
      <c r="F220">
        <v>74.16</v>
      </c>
      <c r="G220" t="str">
        <f t="shared" si="3"/>
        <v>VALID</v>
      </c>
    </row>
    <row r="221" spans="1:7" x14ac:dyDescent="0.3">
      <c r="A221" t="s">
        <v>68</v>
      </c>
      <c r="B221" t="s">
        <v>113</v>
      </c>
      <c r="C221">
        <v>5.45</v>
      </c>
      <c r="D221">
        <v>11.46</v>
      </c>
      <c r="E221">
        <v>41</v>
      </c>
      <c r="F221">
        <v>132.55000000000001</v>
      </c>
      <c r="G221" t="str">
        <f t="shared" si="3"/>
        <v>VALID</v>
      </c>
    </row>
    <row r="222" spans="1:7" x14ac:dyDescent="0.3">
      <c r="A222" t="s">
        <v>68</v>
      </c>
      <c r="B222" t="s">
        <v>109</v>
      </c>
      <c r="C222">
        <v>4.79</v>
      </c>
      <c r="D222">
        <v>7.64</v>
      </c>
      <c r="E222">
        <v>31</v>
      </c>
      <c r="F222">
        <v>83.92</v>
      </c>
      <c r="G222" t="str">
        <f t="shared" si="3"/>
        <v>VALID</v>
      </c>
    </row>
    <row r="223" spans="1:7" x14ac:dyDescent="0.3">
      <c r="A223" t="s">
        <v>68</v>
      </c>
      <c r="B223" t="s">
        <v>113</v>
      </c>
      <c r="C223">
        <v>5.45</v>
      </c>
      <c r="D223">
        <v>11.46</v>
      </c>
      <c r="E223">
        <v>41</v>
      </c>
      <c r="F223">
        <v>132.55000000000001</v>
      </c>
      <c r="G223" t="str">
        <f t="shared" si="3"/>
        <v>VALID</v>
      </c>
    </row>
    <row r="224" spans="1:7" x14ac:dyDescent="0.3">
      <c r="A224" t="s">
        <v>74</v>
      </c>
      <c r="B224" t="s">
        <v>108</v>
      </c>
      <c r="C224">
        <v>7.21</v>
      </c>
      <c r="D224">
        <v>13.35</v>
      </c>
      <c r="E224">
        <v>20</v>
      </c>
      <c r="F224">
        <v>63.84</v>
      </c>
      <c r="G224" t="str">
        <f t="shared" si="3"/>
        <v>VALID</v>
      </c>
    </row>
    <row r="225" spans="1:7" x14ac:dyDescent="0.3">
      <c r="A225" t="s">
        <v>74</v>
      </c>
      <c r="B225" t="s">
        <v>108</v>
      </c>
      <c r="C225">
        <v>7.21</v>
      </c>
      <c r="D225">
        <v>13.35</v>
      </c>
      <c r="E225">
        <v>20</v>
      </c>
      <c r="F225">
        <v>63.84</v>
      </c>
      <c r="G225" t="str">
        <f t="shared" si="3"/>
        <v>VALID</v>
      </c>
    </row>
    <row r="226" spans="1:7" x14ac:dyDescent="0.3">
      <c r="A226" t="s">
        <v>74</v>
      </c>
      <c r="B226" t="s">
        <v>108</v>
      </c>
      <c r="C226">
        <v>7.21</v>
      </c>
      <c r="D226">
        <v>13.35</v>
      </c>
      <c r="E226">
        <v>20</v>
      </c>
      <c r="F226">
        <v>63.84</v>
      </c>
      <c r="G226" t="str">
        <f t="shared" si="3"/>
        <v>VALID</v>
      </c>
    </row>
    <row r="227" spans="1:7" x14ac:dyDescent="0.3">
      <c r="A227" t="s">
        <v>82</v>
      </c>
      <c r="B227" t="s">
        <v>109</v>
      </c>
      <c r="C227">
        <v>3.19</v>
      </c>
      <c r="D227">
        <v>12.62</v>
      </c>
      <c r="E227">
        <v>36</v>
      </c>
      <c r="F227">
        <v>91.63</v>
      </c>
      <c r="G227" t="str">
        <f t="shared" si="3"/>
        <v>VALID</v>
      </c>
    </row>
    <row r="228" spans="1:7" x14ac:dyDescent="0.3">
      <c r="A228" t="s">
        <v>82</v>
      </c>
      <c r="B228" t="s">
        <v>111</v>
      </c>
      <c r="C228">
        <v>6.52</v>
      </c>
      <c r="D228">
        <v>12.5</v>
      </c>
      <c r="E228">
        <v>39</v>
      </c>
      <c r="F228">
        <v>108.55</v>
      </c>
      <c r="G228" t="str">
        <f t="shared" si="3"/>
        <v>VALID</v>
      </c>
    </row>
    <row r="229" spans="1:7" x14ac:dyDescent="0.3">
      <c r="A229" t="s">
        <v>82</v>
      </c>
      <c r="B229" t="s">
        <v>109</v>
      </c>
      <c r="C229">
        <v>3.19</v>
      </c>
      <c r="D229">
        <v>12.62</v>
      </c>
      <c r="E229">
        <v>36</v>
      </c>
      <c r="F229">
        <v>91.63</v>
      </c>
      <c r="G229" t="str">
        <f t="shared" si="3"/>
        <v>VALID</v>
      </c>
    </row>
    <row r="230" spans="1:7" x14ac:dyDescent="0.3">
      <c r="A230" t="s">
        <v>82</v>
      </c>
      <c r="B230" t="s">
        <v>111</v>
      </c>
      <c r="C230">
        <v>6.52</v>
      </c>
      <c r="D230">
        <v>12.5</v>
      </c>
      <c r="E230">
        <v>39</v>
      </c>
      <c r="F230">
        <v>108.55</v>
      </c>
      <c r="G230" t="str">
        <f t="shared" si="3"/>
        <v>VALID</v>
      </c>
    </row>
    <row r="231" spans="1:7" x14ac:dyDescent="0.3">
      <c r="A231" t="s">
        <v>82</v>
      </c>
      <c r="B231" t="s">
        <v>111</v>
      </c>
      <c r="C231">
        <v>6.52</v>
      </c>
      <c r="D231">
        <v>12.5</v>
      </c>
      <c r="E231">
        <v>39</v>
      </c>
      <c r="F231">
        <v>108.55</v>
      </c>
      <c r="G231" t="str">
        <f t="shared" si="3"/>
        <v>VALID</v>
      </c>
    </row>
    <row r="232" spans="1:7" x14ac:dyDescent="0.3">
      <c r="A232" t="s">
        <v>82</v>
      </c>
      <c r="B232" t="s">
        <v>111</v>
      </c>
      <c r="C232">
        <v>6.52</v>
      </c>
      <c r="D232">
        <v>12.5</v>
      </c>
      <c r="E232">
        <v>39</v>
      </c>
      <c r="F232">
        <v>108.55</v>
      </c>
      <c r="G232" t="str">
        <f t="shared" si="3"/>
        <v>VALID</v>
      </c>
    </row>
    <row r="233" spans="1:7" x14ac:dyDescent="0.3">
      <c r="A233" t="s">
        <v>82</v>
      </c>
      <c r="B233" t="s">
        <v>109</v>
      </c>
      <c r="C233">
        <v>3.19</v>
      </c>
      <c r="D233">
        <v>12.62</v>
      </c>
      <c r="E233">
        <v>36</v>
      </c>
      <c r="F233">
        <v>91.63</v>
      </c>
      <c r="G233" t="str">
        <f t="shared" si="3"/>
        <v>VALID</v>
      </c>
    </row>
    <row r="234" spans="1:7" x14ac:dyDescent="0.3">
      <c r="A234" t="s">
        <v>62</v>
      </c>
      <c r="B234" t="s">
        <v>111</v>
      </c>
      <c r="C234">
        <v>6.23</v>
      </c>
      <c r="D234">
        <v>10.09</v>
      </c>
      <c r="E234">
        <v>22</v>
      </c>
      <c r="F234">
        <v>41.47</v>
      </c>
      <c r="G234" t="str">
        <f t="shared" si="3"/>
        <v>VALID</v>
      </c>
    </row>
    <row r="235" spans="1:7" x14ac:dyDescent="0.3">
      <c r="A235" t="s">
        <v>62</v>
      </c>
      <c r="B235" t="s">
        <v>108</v>
      </c>
      <c r="C235">
        <v>7.79</v>
      </c>
      <c r="D235">
        <v>10.76</v>
      </c>
      <c r="E235">
        <v>29</v>
      </c>
      <c r="F235">
        <v>81.849999999999994</v>
      </c>
      <c r="G235" t="str">
        <f t="shared" si="3"/>
        <v>VALID</v>
      </c>
    </row>
    <row r="236" spans="1:7" x14ac:dyDescent="0.3">
      <c r="A236" t="s">
        <v>62</v>
      </c>
      <c r="B236" t="s">
        <v>109</v>
      </c>
      <c r="C236">
        <v>6.89</v>
      </c>
      <c r="D236">
        <v>12.38</v>
      </c>
      <c r="E236">
        <v>45</v>
      </c>
      <c r="F236">
        <v>110.23</v>
      </c>
      <c r="G236" t="str">
        <f t="shared" si="3"/>
        <v>VALID</v>
      </c>
    </row>
    <row r="237" spans="1:7" x14ac:dyDescent="0.3">
      <c r="A237" t="s">
        <v>73</v>
      </c>
      <c r="B237" t="s">
        <v>111</v>
      </c>
      <c r="C237">
        <v>3.31</v>
      </c>
      <c r="D237">
        <v>12.74</v>
      </c>
      <c r="E237">
        <v>44</v>
      </c>
      <c r="F237">
        <v>128.79</v>
      </c>
      <c r="G237" t="str">
        <f t="shared" si="3"/>
        <v>VALID</v>
      </c>
    </row>
    <row r="238" spans="1:7" x14ac:dyDescent="0.3">
      <c r="A238" t="s">
        <v>73</v>
      </c>
      <c r="B238" t="s">
        <v>108</v>
      </c>
      <c r="C238">
        <v>7.73</v>
      </c>
      <c r="D238">
        <v>13.89</v>
      </c>
      <c r="E238">
        <v>27</v>
      </c>
      <c r="F238">
        <v>67.13</v>
      </c>
      <c r="G238" t="str">
        <f t="shared" si="3"/>
        <v>VALID</v>
      </c>
    </row>
    <row r="239" spans="1:7" x14ac:dyDescent="0.3">
      <c r="A239" t="s">
        <v>73</v>
      </c>
      <c r="B239" t="s">
        <v>108</v>
      </c>
      <c r="C239">
        <v>7.73</v>
      </c>
      <c r="D239">
        <v>13.89</v>
      </c>
      <c r="E239">
        <v>27</v>
      </c>
      <c r="F239">
        <v>67.13</v>
      </c>
      <c r="G239" t="str">
        <f t="shared" si="3"/>
        <v>VALID</v>
      </c>
    </row>
    <row r="240" spans="1:7" x14ac:dyDescent="0.3">
      <c r="A240" t="s">
        <v>100</v>
      </c>
      <c r="B240" t="s">
        <v>108</v>
      </c>
      <c r="C240">
        <v>5.58</v>
      </c>
      <c r="D240">
        <v>8.2100000000000009</v>
      </c>
      <c r="E240">
        <v>16</v>
      </c>
      <c r="F240">
        <v>35.880000000000003</v>
      </c>
      <c r="G240" t="str">
        <f t="shared" si="3"/>
        <v>VALID</v>
      </c>
    </row>
    <row r="241" spans="1:7" x14ac:dyDescent="0.3">
      <c r="A241" t="s">
        <v>100</v>
      </c>
      <c r="B241" t="s">
        <v>111</v>
      </c>
      <c r="C241">
        <v>5.53</v>
      </c>
      <c r="D241">
        <v>11.09</v>
      </c>
      <c r="E241">
        <v>23</v>
      </c>
      <c r="F241">
        <v>68.33</v>
      </c>
      <c r="G241" t="str">
        <f t="shared" si="3"/>
        <v>VALID</v>
      </c>
    </row>
    <row r="242" spans="1:7" x14ac:dyDescent="0.3">
      <c r="A242" t="s">
        <v>100</v>
      </c>
      <c r="B242" t="s">
        <v>108</v>
      </c>
      <c r="C242">
        <v>5.58</v>
      </c>
      <c r="D242">
        <v>8.2100000000000009</v>
      </c>
      <c r="E242">
        <v>16</v>
      </c>
      <c r="F242">
        <v>35.880000000000003</v>
      </c>
      <c r="G242" t="str">
        <f t="shared" si="3"/>
        <v>VALID</v>
      </c>
    </row>
    <row r="243" spans="1:7" x14ac:dyDescent="0.3">
      <c r="A243" t="s">
        <v>79</v>
      </c>
      <c r="B243" t="s">
        <v>111</v>
      </c>
      <c r="C243">
        <v>5.48</v>
      </c>
      <c r="D243">
        <v>12.1</v>
      </c>
      <c r="E243">
        <v>45</v>
      </c>
      <c r="F243">
        <v>141.07</v>
      </c>
      <c r="G243" t="str">
        <f t="shared" si="3"/>
        <v>VALID</v>
      </c>
    </row>
    <row r="244" spans="1:7" x14ac:dyDescent="0.3">
      <c r="A244" t="s">
        <v>128</v>
      </c>
      <c r="B244" t="s">
        <v>111</v>
      </c>
      <c r="C244">
        <v>3.43</v>
      </c>
      <c r="D244">
        <v>14.74</v>
      </c>
      <c r="E244">
        <v>21</v>
      </c>
      <c r="F244">
        <v>62.83</v>
      </c>
      <c r="G244" t="str">
        <f t="shared" si="3"/>
        <v>VALID</v>
      </c>
    </row>
    <row r="245" spans="1:7" x14ac:dyDescent="0.3">
      <c r="A245" t="s">
        <v>37</v>
      </c>
      <c r="B245" t="s">
        <v>111</v>
      </c>
      <c r="C245">
        <v>2.9</v>
      </c>
      <c r="D245">
        <v>7.93</v>
      </c>
      <c r="E245">
        <v>14</v>
      </c>
      <c r="F245">
        <v>47.27</v>
      </c>
      <c r="G245" t="str">
        <f t="shared" si="3"/>
        <v>VALID</v>
      </c>
    </row>
    <row r="246" spans="1:7" x14ac:dyDescent="0.3">
      <c r="A246" t="s">
        <v>37</v>
      </c>
      <c r="B246" t="s">
        <v>111</v>
      </c>
      <c r="C246">
        <v>2.9</v>
      </c>
      <c r="D246">
        <v>7.93</v>
      </c>
      <c r="E246">
        <v>14</v>
      </c>
      <c r="F246">
        <v>47.27</v>
      </c>
      <c r="G246" t="str">
        <f t="shared" si="3"/>
        <v>VALID</v>
      </c>
    </row>
    <row r="247" spans="1:7" x14ac:dyDescent="0.3">
      <c r="A247" t="s">
        <v>37</v>
      </c>
      <c r="B247" t="s">
        <v>111</v>
      </c>
      <c r="C247">
        <v>2.9</v>
      </c>
      <c r="D247">
        <v>7.93</v>
      </c>
      <c r="E247">
        <v>14</v>
      </c>
      <c r="F247">
        <v>47.27</v>
      </c>
      <c r="G247" t="str">
        <f t="shared" si="3"/>
        <v>VALID</v>
      </c>
    </row>
    <row r="248" spans="1:7" x14ac:dyDescent="0.3">
      <c r="A248" t="s">
        <v>44</v>
      </c>
      <c r="B248" t="s">
        <v>113</v>
      </c>
      <c r="C248">
        <v>4.88</v>
      </c>
      <c r="D248">
        <v>13.2</v>
      </c>
      <c r="E248">
        <v>16</v>
      </c>
      <c r="F248">
        <v>31.8</v>
      </c>
      <c r="G248" t="str">
        <f t="shared" si="3"/>
        <v>VALID</v>
      </c>
    </row>
    <row r="249" spans="1:7" x14ac:dyDescent="0.3">
      <c r="A249" t="s">
        <v>44</v>
      </c>
      <c r="B249" t="s">
        <v>109</v>
      </c>
      <c r="C249">
        <v>2.2999999999999998</v>
      </c>
      <c r="D249">
        <v>7.43</v>
      </c>
      <c r="E249">
        <v>45</v>
      </c>
      <c r="F249">
        <v>101.27</v>
      </c>
      <c r="G249" t="str">
        <f t="shared" si="3"/>
        <v>VALID</v>
      </c>
    </row>
    <row r="250" spans="1:7" x14ac:dyDescent="0.3">
      <c r="A250" t="s">
        <v>44</v>
      </c>
      <c r="B250" t="s">
        <v>111</v>
      </c>
      <c r="C250">
        <v>3.41</v>
      </c>
      <c r="D250">
        <v>5.08</v>
      </c>
      <c r="E250">
        <v>44</v>
      </c>
      <c r="F250">
        <v>148.63</v>
      </c>
      <c r="G250" t="str">
        <f t="shared" si="3"/>
        <v>VALID</v>
      </c>
    </row>
    <row r="251" spans="1:7" x14ac:dyDescent="0.3">
      <c r="A251" t="s">
        <v>44</v>
      </c>
      <c r="B251" t="s">
        <v>111</v>
      </c>
      <c r="C251">
        <v>3.41</v>
      </c>
      <c r="D251">
        <v>5.08</v>
      </c>
      <c r="E251">
        <v>44</v>
      </c>
      <c r="F251">
        <v>148.63</v>
      </c>
      <c r="G251" t="str">
        <f t="shared" si="3"/>
        <v>VALID</v>
      </c>
    </row>
    <row r="252" spans="1:7" x14ac:dyDescent="0.3">
      <c r="A252" t="s">
        <v>44</v>
      </c>
      <c r="B252" t="s">
        <v>113</v>
      </c>
      <c r="C252">
        <v>4.88</v>
      </c>
      <c r="D252">
        <v>13.2</v>
      </c>
      <c r="E252">
        <v>16</v>
      </c>
      <c r="F252">
        <v>31.8</v>
      </c>
      <c r="G252" t="str">
        <f t="shared" si="3"/>
        <v>VALID</v>
      </c>
    </row>
    <row r="253" spans="1:7" x14ac:dyDescent="0.3">
      <c r="A253" t="s">
        <v>44</v>
      </c>
      <c r="B253" t="s">
        <v>109</v>
      </c>
      <c r="C253">
        <v>2.2999999999999998</v>
      </c>
      <c r="D253">
        <v>7.43</v>
      </c>
      <c r="E253">
        <v>45</v>
      </c>
      <c r="F253">
        <v>101.27</v>
      </c>
      <c r="G253" t="str">
        <f t="shared" si="3"/>
        <v>VALID</v>
      </c>
    </row>
    <row r="254" spans="1:7" x14ac:dyDescent="0.3">
      <c r="A254" t="s">
        <v>44</v>
      </c>
      <c r="B254" t="s">
        <v>108</v>
      </c>
      <c r="C254">
        <v>4.4000000000000004</v>
      </c>
      <c r="D254">
        <v>5.47</v>
      </c>
      <c r="E254">
        <v>33</v>
      </c>
      <c r="F254">
        <v>69.98</v>
      </c>
      <c r="G254" t="str">
        <f t="shared" si="3"/>
        <v>VALID</v>
      </c>
    </row>
    <row r="255" spans="1:7" x14ac:dyDescent="0.3">
      <c r="A255" t="s">
        <v>44</v>
      </c>
      <c r="B255" t="s">
        <v>108</v>
      </c>
      <c r="C255">
        <v>4.4000000000000004</v>
      </c>
      <c r="D255">
        <v>5.47</v>
      </c>
      <c r="E255">
        <v>33</v>
      </c>
      <c r="F255">
        <v>69.98</v>
      </c>
      <c r="G255" t="str">
        <f t="shared" si="3"/>
        <v>VALID</v>
      </c>
    </row>
    <row r="256" spans="1:7" x14ac:dyDescent="0.3">
      <c r="A256" t="s">
        <v>44</v>
      </c>
      <c r="B256" t="s">
        <v>109</v>
      </c>
      <c r="C256">
        <v>4.75</v>
      </c>
      <c r="D256">
        <v>14.98</v>
      </c>
      <c r="E256">
        <v>19</v>
      </c>
      <c r="F256">
        <v>44.8</v>
      </c>
      <c r="G256" t="str">
        <f t="shared" si="3"/>
        <v>VALID</v>
      </c>
    </row>
    <row r="257" spans="1:7" x14ac:dyDescent="0.3">
      <c r="A257" t="s">
        <v>77</v>
      </c>
      <c r="B257" t="s">
        <v>111</v>
      </c>
      <c r="C257">
        <v>6.32</v>
      </c>
      <c r="D257">
        <v>11.06</v>
      </c>
      <c r="E257">
        <v>27</v>
      </c>
      <c r="F257">
        <v>57.64</v>
      </c>
      <c r="G257" t="str">
        <f t="shared" si="3"/>
        <v>VALID</v>
      </c>
    </row>
    <row r="258" spans="1:7" x14ac:dyDescent="0.3">
      <c r="A258" t="s">
        <v>77</v>
      </c>
      <c r="B258" t="s">
        <v>111</v>
      </c>
      <c r="C258">
        <v>6.32</v>
      </c>
      <c r="D258">
        <v>11.06</v>
      </c>
      <c r="E258">
        <v>27</v>
      </c>
      <c r="F258">
        <v>57.64</v>
      </c>
      <c r="G258" t="str">
        <f t="shared" ref="G258:G301" si="4">IF(ISNUMBER(DATEVALUE(A258)),"VALID","INVALID")</f>
        <v>VALID</v>
      </c>
    </row>
    <row r="259" spans="1:7" x14ac:dyDescent="0.3">
      <c r="A259" t="s">
        <v>98</v>
      </c>
      <c r="B259" t="s">
        <v>109</v>
      </c>
      <c r="C259">
        <v>7.47</v>
      </c>
      <c r="D259">
        <v>14.29</v>
      </c>
      <c r="E259">
        <v>36</v>
      </c>
      <c r="F259">
        <v>80.42</v>
      </c>
      <c r="G259" t="str">
        <f t="shared" si="4"/>
        <v>VALID</v>
      </c>
    </row>
    <row r="260" spans="1:7" x14ac:dyDescent="0.3">
      <c r="A260" t="s">
        <v>98</v>
      </c>
      <c r="B260" t="s">
        <v>115</v>
      </c>
      <c r="C260">
        <v>3.76</v>
      </c>
      <c r="D260">
        <v>9.0299999999999994</v>
      </c>
      <c r="E260">
        <v>21</v>
      </c>
      <c r="F260">
        <v>47.13</v>
      </c>
      <c r="G260" t="str">
        <f t="shared" si="4"/>
        <v>VALID</v>
      </c>
    </row>
    <row r="261" spans="1:7" x14ac:dyDescent="0.3">
      <c r="A261" t="s">
        <v>99</v>
      </c>
      <c r="B261" t="s">
        <v>109</v>
      </c>
      <c r="C261">
        <v>2.17</v>
      </c>
      <c r="D261">
        <v>10.91</v>
      </c>
      <c r="E261">
        <v>20</v>
      </c>
      <c r="F261">
        <v>60.57</v>
      </c>
      <c r="G261" t="str">
        <f t="shared" si="4"/>
        <v>VALID</v>
      </c>
    </row>
    <row r="262" spans="1:7" x14ac:dyDescent="0.3">
      <c r="A262" t="s">
        <v>99</v>
      </c>
      <c r="B262" t="s">
        <v>115</v>
      </c>
      <c r="C262">
        <v>7.22</v>
      </c>
      <c r="D262">
        <v>6.75</v>
      </c>
      <c r="E262">
        <v>36</v>
      </c>
      <c r="F262">
        <v>68.5</v>
      </c>
      <c r="G262" t="str">
        <f t="shared" si="4"/>
        <v>VALID</v>
      </c>
    </row>
    <row r="263" spans="1:7" x14ac:dyDescent="0.3">
      <c r="A263" t="s">
        <v>99</v>
      </c>
      <c r="B263" t="s">
        <v>109</v>
      </c>
      <c r="C263">
        <v>2.17</v>
      </c>
      <c r="D263">
        <v>10.91</v>
      </c>
      <c r="E263">
        <v>20</v>
      </c>
      <c r="F263">
        <v>60.57</v>
      </c>
      <c r="G263" t="str">
        <f t="shared" si="4"/>
        <v>VALID</v>
      </c>
    </row>
    <row r="264" spans="1:7" x14ac:dyDescent="0.3">
      <c r="A264" t="s">
        <v>121</v>
      </c>
      <c r="B264" t="s">
        <v>111</v>
      </c>
      <c r="C264">
        <v>4.04</v>
      </c>
      <c r="D264">
        <v>13.77</v>
      </c>
      <c r="E264">
        <v>29</v>
      </c>
      <c r="F264">
        <v>57.47</v>
      </c>
      <c r="G264" t="str">
        <f t="shared" si="4"/>
        <v>VALID</v>
      </c>
    </row>
    <row r="265" spans="1:7" x14ac:dyDescent="0.3">
      <c r="A265" t="s">
        <v>121</v>
      </c>
      <c r="B265" t="s">
        <v>111</v>
      </c>
      <c r="C265">
        <v>4.04</v>
      </c>
      <c r="D265">
        <v>13.77</v>
      </c>
      <c r="E265">
        <v>29</v>
      </c>
      <c r="F265">
        <v>57.47</v>
      </c>
      <c r="G265" t="str">
        <f t="shared" si="4"/>
        <v>VALID</v>
      </c>
    </row>
    <row r="266" spans="1:7" x14ac:dyDescent="0.3">
      <c r="A266" t="s">
        <v>48</v>
      </c>
      <c r="B266" t="s">
        <v>115</v>
      </c>
      <c r="C266">
        <v>7.9</v>
      </c>
      <c r="D266">
        <v>10.06</v>
      </c>
      <c r="E266">
        <v>24</v>
      </c>
      <c r="F266">
        <v>57.23</v>
      </c>
      <c r="G266" t="str">
        <f t="shared" si="4"/>
        <v>VALID</v>
      </c>
    </row>
    <row r="267" spans="1:7" x14ac:dyDescent="0.3">
      <c r="A267" t="s">
        <v>48</v>
      </c>
      <c r="B267" t="s">
        <v>109</v>
      </c>
      <c r="C267">
        <v>2.62</v>
      </c>
      <c r="D267">
        <v>5.98</v>
      </c>
      <c r="E267">
        <v>40</v>
      </c>
      <c r="F267">
        <v>122.24</v>
      </c>
      <c r="G267" t="str">
        <f t="shared" si="4"/>
        <v>VALID</v>
      </c>
    </row>
    <row r="268" spans="1:7" x14ac:dyDescent="0.3">
      <c r="A268" t="s">
        <v>48</v>
      </c>
      <c r="B268" t="s">
        <v>109</v>
      </c>
      <c r="C268">
        <v>2.62</v>
      </c>
      <c r="D268">
        <v>5.98</v>
      </c>
      <c r="E268">
        <v>40</v>
      </c>
      <c r="F268">
        <v>122.24</v>
      </c>
      <c r="G268" t="str">
        <f t="shared" si="4"/>
        <v>VALID</v>
      </c>
    </row>
    <row r="269" spans="1:7" x14ac:dyDescent="0.3">
      <c r="A269" t="s">
        <v>48</v>
      </c>
      <c r="B269" t="s">
        <v>111</v>
      </c>
      <c r="C269">
        <v>4.91</v>
      </c>
      <c r="D269">
        <v>5.0199999999999996</v>
      </c>
      <c r="E269">
        <v>43</v>
      </c>
      <c r="G269" t="str">
        <f t="shared" si="4"/>
        <v>VALID</v>
      </c>
    </row>
    <row r="270" spans="1:7" x14ac:dyDescent="0.3">
      <c r="A270" t="s">
        <v>48</v>
      </c>
      <c r="B270" t="s">
        <v>111</v>
      </c>
      <c r="C270">
        <v>4.91</v>
      </c>
      <c r="D270">
        <v>5.0199999999999996</v>
      </c>
      <c r="E270">
        <v>43</v>
      </c>
      <c r="F270">
        <v>102.55</v>
      </c>
      <c r="G270" t="str">
        <f t="shared" si="4"/>
        <v>VALID</v>
      </c>
    </row>
    <row r="271" spans="1:7" x14ac:dyDescent="0.3">
      <c r="A271" t="s">
        <v>48</v>
      </c>
      <c r="B271" t="s">
        <v>115</v>
      </c>
      <c r="C271">
        <v>7.9</v>
      </c>
      <c r="D271">
        <v>10.06</v>
      </c>
      <c r="E271">
        <v>24</v>
      </c>
      <c r="F271">
        <v>57.23</v>
      </c>
      <c r="G271" t="str">
        <f t="shared" si="4"/>
        <v>VALID</v>
      </c>
    </row>
    <row r="272" spans="1:7" x14ac:dyDescent="0.3">
      <c r="A272" t="s">
        <v>91</v>
      </c>
      <c r="B272" t="s">
        <v>113</v>
      </c>
      <c r="C272">
        <v>4.7</v>
      </c>
      <c r="D272">
        <v>9.85</v>
      </c>
      <c r="E272">
        <v>36</v>
      </c>
      <c r="F272">
        <v>81.27</v>
      </c>
      <c r="G272" t="str">
        <f t="shared" si="4"/>
        <v>VALID</v>
      </c>
    </row>
    <row r="273" spans="1:7" x14ac:dyDescent="0.3">
      <c r="A273" t="s">
        <v>118</v>
      </c>
      <c r="B273" t="s">
        <v>113</v>
      </c>
      <c r="C273">
        <v>4.0599999999999996</v>
      </c>
      <c r="D273">
        <v>6.52</v>
      </c>
      <c r="E273">
        <v>21</v>
      </c>
      <c r="F273">
        <v>61.57</v>
      </c>
      <c r="G273" t="str">
        <f t="shared" si="4"/>
        <v>VALID</v>
      </c>
    </row>
    <row r="274" spans="1:7" x14ac:dyDescent="0.3">
      <c r="A274" t="s">
        <v>118</v>
      </c>
      <c r="B274" t="s">
        <v>109</v>
      </c>
      <c r="C274">
        <v>7.54</v>
      </c>
      <c r="D274">
        <v>14.97</v>
      </c>
      <c r="E274">
        <v>19</v>
      </c>
      <c r="F274">
        <v>41.38</v>
      </c>
      <c r="G274" t="str">
        <f t="shared" si="4"/>
        <v>VALID</v>
      </c>
    </row>
    <row r="275" spans="1:7" x14ac:dyDescent="0.3">
      <c r="A275" t="s">
        <v>118</v>
      </c>
      <c r="B275" t="s">
        <v>113</v>
      </c>
      <c r="C275">
        <v>6.49</v>
      </c>
      <c r="D275">
        <v>6.23</v>
      </c>
      <c r="E275">
        <v>34</v>
      </c>
      <c r="F275">
        <v>113.14</v>
      </c>
      <c r="G275" t="str">
        <f t="shared" si="4"/>
        <v>VALID</v>
      </c>
    </row>
    <row r="276" spans="1:7" x14ac:dyDescent="0.3">
      <c r="A276" t="s">
        <v>118</v>
      </c>
      <c r="B276" t="s">
        <v>109</v>
      </c>
      <c r="C276">
        <v>7.54</v>
      </c>
      <c r="D276">
        <v>14.97</v>
      </c>
      <c r="E276">
        <v>19</v>
      </c>
      <c r="F276">
        <v>41.38</v>
      </c>
      <c r="G276" t="str">
        <f t="shared" si="4"/>
        <v>VALID</v>
      </c>
    </row>
    <row r="277" spans="1:7" x14ac:dyDescent="0.3">
      <c r="A277" t="s">
        <v>118</v>
      </c>
      <c r="B277" t="s">
        <v>113</v>
      </c>
      <c r="C277">
        <v>6.49</v>
      </c>
      <c r="D277">
        <v>6.23</v>
      </c>
      <c r="E277">
        <v>34</v>
      </c>
      <c r="F277">
        <v>113.14</v>
      </c>
      <c r="G277" t="str">
        <f t="shared" si="4"/>
        <v>VALID</v>
      </c>
    </row>
    <row r="278" spans="1:7" x14ac:dyDescent="0.3">
      <c r="A278" t="s">
        <v>118</v>
      </c>
      <c r="B278" t="s">
        <v>109</v>
      </c>
      <c r="C278">
        <v>7.54</v>
      </c>
      <c r="D278">
        <v>14.97</v>
      </c>
      <c r="E278">
        <v>19</v>
      </c>
      <c r="F278">
        <v>41.38</v>
      </c>
      <c r="G278" t="str">
        <f t="shared" si="4"/>
        <v>VALID</v>
      </c>
    </row>
    <row r="279" spans="1:7" x14ac:dyDescent="0.3">
      <c r="A279" t="s">
        <v>125</v>
      </c>
      <c r="B279" t="s">
        <v>111</v>
      </c>
      <c r="C279">
        <v>5.76</v>
      </c>
      <c r="D279">
        <v>9.5299999999999994</v>
      </c>
      <c r="E279">
        <v>10</v>
      </c>
      <c r="F279">
        <v>27.94</v>
      </c>
      <c r="G279" t="str">
        <f t="shared" si="4"/>
        <v>VALID</v>
      </c>
    </row>
    <row r="280" spans="1:7" x14ac:dyDescent="0.3">
      <c r="A280" t="s">
        <v>69</v>
      </c>
      <c r="B280" t="s">
        <v>108</v>
      </c>
      <c r="C280">
        <v>6.86</v>
      </c>
      <c r="D280">
        <v>6.9</v>
      </c>
      <c r="E280">
        <v>11</v>
      </c>
      <c r="F280">
        <v>35.299999999999997</v>
      </c>
      <c r="G280" t="str">
        <f t="shared" si="4"/>
        <v>VALID</v>
      </c>
    </row>
    <row r="281" spans="1:7" x14ac:dyDescent="0.3">
      <c r="A281" t="s">
        <v>43</v>
      </c>
      <c r="B281" t="s">
        <v>111</v>
      </c>
      <c r="C281">
        <v>4.1900000000000004</v>
      </c>
      <c r="D281">
        <v>5.22</v>
      </c>
      <c r="E281">
        <v>32</v>
      </c>
      <c r="F281">
        <v>105.24</v>
      </c>
      <c r="G281" t="str">
        <f t="shared" si="4"/>
        <v>VALID</v>
      </c>
    </row>
    <row r="282" spans="1:7" x14ac:dyDescent="0.3">
      <c r="A282" t="s">
        <v>43</v>
      </c>
      <c r="B282" t="s">
        <v>111</v>
      </c>
      <c r="C282">
        <v>4.1900000000000004</v>
      </c>
      <c r="D282">
        <v>5.22</v>
      </c>
      <c r="E282">
        <v>32</v>
      </c>
      <c r="F282">
        <v>105.24</v>
      </c>
      <c r="G282" t="str">
        <f t="shared" si="4"/>
        <v>VALID</v>
      </c>
    </row>
    <row r="283" spans="1:7" x14ac:dyDescent="0.3">
      <c r="A283" t="s">
        <v>63</v>
      </c>
      <c r="B283" t="s">
        <v>113</v>
      </c>
      <c r="C283">
        <v>4.57</v>
      </c>
      <c r="D283">
        <v>10.56</v>
      </c>
      <c r="E283">
        <v>41</v>
      </c>
      <c r="F283">
        <v>139.38999999999999</v>
      </c>
      <c r="G283" t="str">
        <f t="shared" si="4"/>
        <v>VALID</v>
      </c>
    </row>
    <row r="284" spans="1:7" x14ac:dyDescent="0.3">
      <c r="A284" t="s">
        <v>63</v>
      </c>
      <c r="B284" t="s">
        <v>113</v>
      </c>
      <c r="C284">
        <v>4.57</v>
      </c>
      <c r="D284">
        <v>10.56</v>
      </c>
      <c r="E284">
        <v>41</v>
      </c>
      <c r="G284" t="str">
        <f t="shared" si="4"/>
        <v>VALID</v>
      </c>
    </row>
    <row r="285" spans="1:7" x14ac:dyDescent="0.3">
      <c r="A285" t="s">
        <v>63</v>
      </c>
      <c r="B285" t="s">
        <v>113</v>
      </c>
      <c r="C285">
        <v>4.57</v>
      </c>
      <c r="D285">
        <v>10.56</v>
      </c>
      <c r="E285">
        <v>41</v>
      </c>
      <c r="F285">
        <v>139.38999999999999</v>
      </c>
      <c r="G285" t="str">
        <f t="shared" si="4"/>
        <v>VALID</v>
      </c>
    </row>
    <row r="286" spans="1:7" x14ac:dyDescent="0.3">
      <c r="A286" t="s">
        <v>63</v>
      </c>
      <c r="B286" t="s">
        <v>113</v>
      </c>
      <c r="C286">
        <v>4.57</v>
      </c>
      <c r="D286">
        <v>10.56</v>
      </c>
      <c r="E286">
        <v>41</v>
      </c>
      <c r="F286">
        <v>139.38999999999999</v>
      </c>
      <c r="G286" t="str">
        <f t="shared" si="4"/>
        <v>VALID</v>
      </c>
    </row>
    <row r="287" spans="1:7" x14ac:dyDescent="0.3">
      <c r="A287" t="s">
        <v>75</v>
      </c>
      <c r="B287" t="s">
        <v>111</v>
      </c>
      <c r="C287">
        <v>2.41</v>
      </c>
      <c r="D287">
        <v>9.43</v>
      </c>
      <c r="E287">
        <v>13</v>
      </c>
      <c r="F287">
        <v>35.69</v>
      </c>
      <c r="G287" t="str">
        <f t="shared" si="4"/>
        <v>VALID</v>
      </c>
    </row>
    <row r="288" spans="1:7" x14ac:dyDescent="0.3">
      <c r="A288" s="22" t="s">
        <v>52</v>
      </c>
      <c r="B288" s="22" t="s">
        <v>113</v>
      </c>
      <c r="C288" s="22">
        <v>4.49</v>
      </c>
      <c r="D288" s="22">
        <v>5.22</v>
      </c>
      <c r="E288" s="22">
        <v>8</v>
      </c>
      <c r="F288" s="22">
        <v>19.25</v>
      </c>
      <c r="G288" s="22" t="str">
        <f t="shared" si="4"/>
        <v>INVALID</v>
      </c>
    </row>
    <row r="289" spans="1:7" x14ac:dyDescent="0.3">
      <c r="A289" s="22" t="s">
        <v>52</v>
      </c>
      <c r="B289" s="22" t="s">
        <v>108</v>
      </c>
      <c r="C289" s="22">
        <v>7.97</v>
      </c>
      <c r="D289" s="22">
        <v>7.7</v>
      </c>
      <c r="E289" s="22">
        <v>18</v>
      </c>
      <c r="F289" s="22">
        <v>56.19</v>
      </c>
      <c r="G289" s="22" t="str">
        <f t="shared" si="4"/>
        <v>INVALID</v>
      </c>
    </row>
    <row r="290" spans="1:7" x14ac:dyDescent="0.3">
      <c r="A290" s="22" t="s">
        <v>52</v>
      </c>
      <c r="B290" s="22" t="s">
        <v>111</v>
      </c>
      <c r="C290" s="22">
        <v>3.43</v>
      </c>
      <c r="D290" s="22">
        <v>12.24</v>
      </c>
      <c r="E290" s="22">
        <v>22</v>
      </c>
      <c r="F290" s="22">
        <v>55.07</v>
      </c>
      <c r="G290" s="22" t="str">
        <f t="shared" si="4"/>
        <v>INVALID</v>
      </c>
    </row>
    <row r="291" spans="1:7" x14ac:dyDescent="0.3">
      <c r="A291" s="22" t="s">
        <v>52</v>
      </c>
      <c r="B291" s="22" t="s">
        <v>111</v>
      </c>
      <c r="C291" s="22">
        <v>4.04</v>
      </c>
      <c r="D291" s="22">
        <v>13.77</v>
      </c>
      <c r="E291" s="22">
        <v>29</v>
      </c>
      <c r="F291" s="22">
        <v>57.47</v>
      </c>
      <c r="G291" s="22" t="str">
        <f t="shared" si="4"/>
        <v>INVALID</v>
      </c>
    </row>
    <row r="292" spans="1:7" x14ac:dyDescent="0.3">
      <c r="A292" s="22" t="s">
        <v>52</v>
      </c>
      <c r="B292" s="22" t="s">
        <v>111</v>
      </c>
      <c r="C292" s="22">
        <v>2.82</v>
      </c>
      <c r="D292" s="22">
        <v>13.83</v>
      </c>
      <c r="E292" s="22">
        <v>22</v>
      </c>
      <c r="F292" s="22"/>
      <c r="G292" s="22" t="str">
        <f t="shared" si="4"/>
        <v>INVALID</v>
      </c>
    </row>
    <row r="293" spans="1:7" x14ac:dyDescent="0.3">
      <c r="A293" s="22" t="s">
        <v>52</v>
      </c>
      <c r="B293" s="22" t="s">
        <v>113</v>
      </c>
      <c r="C293" s="22">
        <v>4.8899999999999997</v>
      </c>
      <c r="D293" s="22">
        <v>14.4</v>
      </c>
      <c r="E293" s="22">
        <v>17</v>
      </c>
      <c r="F293" s="22">
        <v>47.53</v>
      </c>
      <c r="G293" s="22" t="str">
        <f t="shared" si="4"/>
        <v>INVALID</v>
      </c>
    </row>
    <row r="294" spans="1:7" x14ac:dyDescent="0.3">
      <c r="A294" s="22" t="s">
        <v>52</v>
      </c>
      <c r="B294" s="22" t="s">
        <v>108</v>
      </c>
      <c r="C294" s="22">
        <v>4.4000000000000004</v>
      </c>
      <c r="D294" s="22">
        <v>5.47</v>
      </c>
      <c r="E294" s="22">
        <v>33</v>
      </c>
      <c r="F294" s="22">
        <v>69.98</v>
      </c>
      <c r="G294" s="22" t="str">
        <f t="shared" si="4"/>
        <v>INVALID</v>
      </c>
    </row>
    <row r="295" spans="1:7" x14ac:dyDescent="0.3">
      <c r="A295" s="22" t="s">
        <v>52</v>
      </c>
      <c r="B295" s="22" t="s">
        <v>111</v>
      </c>
      <c r="C295" s="22">
        <v>5.23</v>
      </c>
      <c r="D295" s="22">
        <v>14.16</v>
      </c>
      <c r="E295" s="22">
        <v>16</v>
      </c>
      <c r="F295" s="22">
        <v>33.57</v>
      </c>
      <c r="G295" s="22" t="str">
        <f t="shared" si="4"/>
        <v>INVALID</v>
      </c>
    </row>
    <row r="296" spans="1:7" x14ac:dyDescent="0.3">
      <c r="A296" s="22" t="s">
        <v>52</v>
      </c>
      <c r="B296" s="22" t="s">
        <v>111</v>
      </c>
      <c r="C296" s="22">
        <v>6.52</v>
      </c>
      <c r="D296" s="22">
        <v>12.5</v>
      </c>
      <c r="E296" s="22">
        <v>39</v>
      </c>
      <c r="F296" s="22">
        <v>108.55</v>
      </c>
      <c r="G296" s="22" t="str">
        <f t="shared" si="4"/>
        <v>INVALID</v>
      </c>
    </row>
    <row r="297" spans="1:7" x14ac:dyDescent="0.3">
      <c r="A297" s="22" t="s">
        <v>52</v>
      </c>
      <c r="B297" s="22" t="s">
        <v>108</v>
      </c>
      <c r="C297" s="22">
        <v>7.82</v>
      </c>
      <c r="D297" s="22">
        <v>6.35</v>
      </c>
      <c r="E297" s="22">
        <v>37</v>
      </c>
      <c r="F297" s="22">
        <v>89.95</v>
      </c>
      <c r="G297" s="22" t="str">
        <f t="shared" si="4"/>
        <v>INVALID</v>
      </c>
    </row>
    <row r="298" spans="1:7" x14ac:dyDescent="0.3">
      <c r="A298" s="22" t="s">
        <v>52</v>
      </c>
      <c r="B298" s="22" t="s">
        <v>115</v>
      </c>
      <c r="C298" s="22"/>
      <c r="D298" s="22">
        <v>9.0299999999999994</v>
      </c>
      <c r="E298" s="22">
        <v>21</v>
      </c>
      <c r="F298" s="22">
        <v>47.13</v>
      </c>
      <c r="G298" s="22" t="str">
        <f t="shared" si="4"/>
        <v>INVALID</v>
      </c>
    </row>
    <row r="299" spans="1:7" x14ac:dyDescent="0.3">
      <c r="A299" s="22" t="s">
        <v>52</v>
      </c>
      <c r="B299" s="22" t="s">
        <v>115</v>
      </c>
      <c r="C299" s="22">
        <v>3.01</v>
      </c>
      <c r="D299" s="22">
        <v>7.02</v>
      </c>
      <c r="E299" s="22">
        <v>38</v>
      </c>
      <c r="F299" s="22">
        <v>88.39</v>
      </c>
      <c r="G299" s="22" t="str">
        <f t="shared" si="4"/>
        <v>INVALID</v>
      </c>
    </row>
    <row r="300" spans="1:7" x14ac:dyDescent="0.3">
      <c r="A300" s="22"/>
      <c r="B300" s="22" t="s">
        <v>108</v>
      </c>
      <c r="C300" s="22">
        <v>7.82</v>
      </c>
      <c r="D300" s="22">
        <v>6.35</v>
      </c>
      <c r="E300" s="22">
        <v>37</v>
      </c>
      <c r="F300" s="22">
        <v>89.95</v>
      </c>
      <c r="G300" s="22" t="str">
        <f t="shared" si="4"/>
        <v>INVALID</v>
      </c>
    </row>
    <row r="301" spans="1:7" x14ac:dyDescent="0.3">
      <c r="A301" s="22"/>
      <c r="B301" s="22" t="s">
        <v>113</v>
      </c>
      <c r="C301" s="22">
        <v>5.26</v>
      </c>
      <c r="D301" s="22">
        <v>5.37</v>
      </c>
      <c r="E301" s="22">
        <v>34</v>
      </c>
      <c r="F301" s="22">
        <v>99.25</v>
      </c>
      <c r="G301" s="22" t="str">
        <f t="shared" si="4"/>
        <v>INVALID</v>
      </c>
    </row>
  </sheetData>
  <autoFilter ref="A1:G301" xr:uid="{00000000-0001-0000-0300-000000000000}">
    <sortState xmlns:xlrd2="http://schemas.microsoft.com/office/spreadsheetml/2017/richdata2" ref="A2:G301">
      <sortCondition ref="A2:A301"/>
    </sortState>
  </autoFilter>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D9"/>
  <sheetViews>
    <sheetView workbookViewId="0">
      <selection sqref="A1:D9"/>
    </sheetView>
  </sheetViews>
  <sheetFormatPr defaultRowHeight="14.4" x14ac:dyDescent="0.3"/>
  <cols>
    <col min="1" max="1" width="7.109375" bestFit="1" customWidth="1"/>
    <col min="2" max="2" width="11.44140625" bestFit="1" customWidth="1"/>
    <col min="3" max="3" width="8.44140625" bestFit="1" customWidth="1"/>
    <col min="4" max="4" width="21.44140625" bestFit="1" customWidth="1"/>
  </cols>
  <sheetData>
    <row r="1" spans="1:4" x14ac:dyDescent="0.3">
      <c r="A1" s="2" t="s">
        <v>130</v>
      </c>
      <c r="B1" s="2" t="s">
        <v>131</v>
      </c>
      <c r="C1" s="2" t="s">
        <v>132</v>
      </c>
      <c r="D1" s="2" t="s">
        <v>133</v>
      </c>
    </row>
    <row r="2" spans="1:4" x14ac:dyDescent="0.3">
      <c r="A2" t="s">
        <v>31</v>
      </c>
      <c r="B2" t="s">
        <v>12</v>
      </c>
      <c r="C2">
        <v>7</v>
      </c>
      <c r="D2">
        <v>45</v>
      </c>
    </row>
    <row r="3" spans="1:4" x14ac:dyDescent="0.3">
      <c r="A3" t="s">
        <v>26</v>
      </c>
      <c r="B3" t="s">
        <v>12</v>
      </c>
      <c r="C3">
        <v>8</v>
      </c>
      <c r="D3">
        <v>48</v>
      </c>
    </row>
    <row r="4" spans="1:4" x14ac:dyDescent="0.3">
      <c r="A4" t="s">
        <v>22</v>
      </c>
      <c r="B4" t="s">
        <v>12</v>
      </c>
      <c r="C4">
        <v>15</v>
      </c>
      <c r="D4">
        <v>75</v>
      </c>
    </row>
    <row r="5" spans="1:4" x14ac:dyDescent="0.3">
      <c r="A5" t="s">
        <v>108</v>
      </c>
      <c r="B5" t="s">
        <v>134</v>
      </c>
      <c r="C5">
        <v>35</v>
      </c>
      <c r="D5">
        <v>22</v>
      </c>
    </row>
    <row r="6" spans="1:4" x14ac:dyDescent="0.3">
      <c r="A6" t="s">
        <v>111</v>
      </c>
      <c r="B6" t="s">
        <v>134</v>
      </c>
      <c r="C6">
        <v>35</v>
      </c>
      <c r="D6">
        <v>22</v>
      </c>
    </row>
    <row r="7" spans="1:4" x14ac:dyDescent="0.3">
      <c r="A7" t="s">
        <v>115</v>
      </c>
      <c r="B7" t="s">
        <v>134</v>
      </c>
      <c r="C7">
        <v>40</v>
      </c>
      <c r="D7">
        <v>25</v>
      </c>
    </row>
    <row r="8" spans="1:4" x14ac:dyDescent="0.3">
      <c r="A8" t="s">
        <v>113</v>
      </c>
      <c r="B8" t="s">
        <v>134</v>
      </c>
      <c r="C8">
        <v>40</v>
      </c>
      <c r="D8">
        <v>25</v>
      </c>
    </row>
    <row r="9" spans="1:4" x14ac:dyDescent="0.3">
      <c r="A9" t="s">
        <v>109</v>
      </c>
      <c r="B9" t="s">
        <v>134</v>
      </c>
      <c r="C9">
        <v>45</v>
      </c>
      <c r="D9">
        <v>30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3B77D-9566-477C-8944-BB79B62B7E36}">
  <sheetPr>
    <tabColor rgb="FF92D050"/>
  </sheetPr>
  <dimension ref="A1:H105"/>
  <sheetViews>
    <sheetView showGridLines="0" tabSelected="1" topLeftCell="A47" zoomScale="67" zoomScaleNormal="107" workbookViewId="0">
      <selection activeCell="C109" sqref="C109"/>
    </sheetView>
  </sheetViews>
  <sheetFormatPr defaultRowHeight="14.4" x14ac:dyDescent="0.3"/>
  <cols>
    <col min="1" max="1" width="5.21875" customWidth="1"/>
    <col min="2" max="2" width="2.77734375" style="23" customWidth="1"/>
    <col min="3" max="3" width="139.21875" customWidth="1"/>
    <col min="4" max="4" width="16.44140625" bestFit="1" customWidth="1"/>
    <col min="5" max="5" width="25.6640625" bestFit="1" customWidth="1"/>
    <col min="6" max="6" width="19.77734375" bestFit="1" customWidth="1"/>
    <col min="7" max="7" width="19.5546875" bestFit="1" customWidth="1"/>
    <col min="8" max="8" width="14.33203125" bestFit="1" customWidth="1"/>
  </cols>
  <sheetData>
    <row r="1" spans="1:4" x14ac:dyDescent="0.3">
      <c r="A1" s="70" t="s">
        <v>0</v>
      </c>
      <c r="B1" s="70"/>
      <c r="C1" s="70"/>
      <c r="D1" s="24"/>
    </row>
    <row r="3" spans="1:4" x14ac:dyDescent="0.3">
      <c r="A3" s="66" t="s">
        <v>153</v>
      </c>
      <c r="B3" s="66"/>
      <c r="C3" s="66"/>
      <c r="D3" s="47"/>
    </row>
    <row r="4" spans="1:4" x14ac:dyDescent="0.3">
      <c r="A4" s="69" t="s">
        <v>179</v>
      </c>
      <c r="B4" s="67" t="s">
        <v>172</v>
      </c>
      <c r="C4" s="67"/>
      <c r="D4" s="33"/>
    </row>
    <row r="5" spans="1:4" ht="30" customHeight="1" x14ac:dyDescent="0.3">
      <c r="A5" s="69"/>
      <c r="B5" s="38" t="s">
        <v>178</v>
      </c>
      <c r="C5" s="34" t="s">
        <v>189</v>
      </c>
      <c r="D5" s="34"/>
    </row>
    <row r="6" spans="1:4" ht="28.8" x14ac:dyDescent="0.3">
      <c r="A6" s="69"/>
      <c r="B6" s="39" t="s">
        <v>185</v>
      </c>
      <c r="C6" s="35" t="s">
        <v>201</v>
      </c>
      <c r="D6" s="35"/>
    </row>
    <row r="7" spans="1:4" x14ac:dyDescent="0.3">
      <c r="A7" s="69"/>
      <c r="B7" s="39" t="s">
        <v>186</v>
      </c>
      <c r="C7" t="s">
        <v>190</v>
      </c>
    </row>
    <row r="8" spans="1:4" ht="43.2" x14ac:dyDescent="0.3">
      <c r="A8" s="69"/>
      <c r="B8" s="39" t="s">
        <v>191</v>
      </c>
      <c r="C8" s="35" t="s">
        <v>194</v>
      </c>
      <c r="D8" s="35"/>
    </row>
    <row r="9" spans="1:4" x14ac:dyDescent="0.3">
      <c r="A9" s="69"/>
      <c r="B9" s="39" t="s">
        <v>192</v>
      </c>
      <c r="C9" s="35" t="s">
        <v>193</v>
      </c>
      <c r="D9" s="35"/>
    </row>
    <row r="10" spans="1:4" x14ac:dyDescent="0.3">
      <c r="A10" s="71"/>
      <c r="B10" s="71"/>
      <c r="C10" s="71"/>
      <c r="D10" s="23"/>
    </row>
    <row r="11" spans="1:4" x14ac:dyDescent="0.3">
      <c r="A11" s="69" t="s">
        <v>180</v>
      </c>
      <c r="B11" s="67" t="s">
        <v>173</v>
      </c>
      <c r="C11" s="67"/>
      <c r="D11" s="33"/>
    </row>
    <row r="12" spans="1:4" ht="43.2" x14ac:dyDescent="0.3">
      <c r="A12" s="69"/>
      <c r="B12" s="39" t="s">
        <v>178</v>
      </c>
      <c r="C12" s="35" t="s">
        <v>202</v>
      </c>
      <c r="D12" s="35"/>
    </row>
    <row r="13" spans="1:4" ht="43.2" x14ac:dyDescent="0.3">
      <c r="A13" s="69"/>
      <c r="B13" s="39" t="s">
        <v>185</v>
      </c>
      <c r="C13" s="35" t="s">
        <v>212</v>
      </c>
      <c r="D13" s="35"/>
    </row>
    <row r="14" spans="1:4" x14ac:dyDescent="0.3">
      <c r="A14" s="72"/>
      <c r="B14" s="72"/>
      <c r="C14" s="72"/>
      <c r="D14" s="36"/>
    </row>
    <row r="15" spans="1:4" x14ac:dyDescent="0.3">
      <c r="A15" s="69" t="s">
        <v>181</v>
      </c>
      <c r="B15" s="67" t="s">
        <v>174</v>
      </c>
      <c r="C15" s="67"/>
      <c r="D15" s="33"/>
    </row>
    <row r="16" spans="1:4" x14ac:dyDescent="0.3">
      <c r="A16" s="69"/>
      <c r="B16" s="39" t="s">
        <v>178</v>
      </c>
      <c r="C16" t="s">
        <v>196</v>
      </c>
    </row>
    <row r="17" spans="1:4" x14ac:dyDescent="0.3">
      <c r="A17" s="69"/>
      <c r="B17" s="39" t="s">
        <v>185</v>
      </c>
      <c r="C17" t="s">
        <v>197</v>
      </c>
    </row>
    <row r="18" spans="1:4" x14ac:dyDescent="0.3">
      <c r="A18" s="72"/>
      <c r="B18" s="72"/>
      <c r="C18" s="72"/>
      <c r="D18" s="36"/>
    </row>
    <row r="19" spans="1:4" x14ac:dyDescent="0.3">
      <c r="A19" s="69" t="s">
        <v>182</v>
      </c>
      <c r="B19" s="67" t="s">
        <v>175</v>
      </c>
      <c r="C19" s="67"/>
      <c r="D19" s="33"/>
    </row>
    <row r="20" spans="1:4" x14ac:dyDescent="0.3">
      <c r="A20" s="69"/>
      <c r="B20" s="39" t="s">
        <v>178</v>
      </c>
      <c r="C20" t="s">
        <v>211</v>
      </c>
    </row>
    <row r="21" spans="1:4" x14ac:dyDescent="0.3">
      <c r="A21" s="69"/>
      <c r="B21" s="39" t="s">
        <v>185</v>
      </c>
      <c r="C21" s="33" t="s">
        <v>198</v>
      </c>
      <c r="D21" s="33"/>
    </row>
    <row r="22" spans="1:4" x14ac:dyDescent="0.3">
      <c r="A22" s="69"/>
      <c r="B22" s="39" t="s">
        <v>186</v>
      </c>
      <c r="C22" s="33" t="s">
        <v>199</v>
      </c>
      <c r="D22" s="33"/>
    </row>
    <row r="23" spans="1:4" x14ac:dyDescent="0.3">
      <c r="A23" s="72"/>
      <c r="B23" s="72"/>
      <c r="C23" s="72"/>
      <c r="D23" s="36"/>
    </row>
    <row r="24" spans="1:4" x14ac:dyDescent="0.3">
      <c r="A24" s="69" t="s">
        <v>183</v>
      </c>
      <c r="B24" s="67" t="s">
        <v>176</v>
      </c>
      <c r="C24" s="67"/>
      <c r="D24" s="33"/>
    </row>
    <row r="25" spans="1:4" x14ac:dyDescent="0.3">
      <c r="A25" s="69"/>
      <c r="B25" s="39" t="s">
        <v>178</v>
      </c>
      <c r="C25" t="s">
        <v>200</v>
      </c>
    </row>
    <row r="26" spans="1:4" x14ac:dyDescent="0.3">
      <c r="A26" s="72"/>
      <c r="B26" s="72"/>
      <c r="C26" s="72"/>
      <c r="D26" s="36"/>
    </row>
    <row r="27" spans="1:4" x14ac:dyDescent="0.3">
      <c r="A27" s="69" t="s">
        <v>184</v>
      </c>
      <c r="B27" s="67" t="s">
        <v>177</v>
      </c>
      <c r="C27" s="67"/>
      <c r="D27" s="33"/>
    </row>
    <row r="28" spans="1:4" x14ac:dyDescent="0.3">
      <c r="A28" s="69"/>
      <c r="B28" s="39" t="s">
        <v>178</v>
      </c>
      <c r="C28" t="s">
        <v>222</v>
      </c>
    </row>
    <row r="31" spans="1:4" x14ac:dyDescent="0.3">
      <c r="A31" s="66" t="s">
        <v>165</v>
      </c>
      <c r="B31" s="66"/>
      <c r="C31" s="66"/>
      <c r="D31" s="47"/>
    </row>
    <row r="32" spans="1:4" x14ac:dyDescent="0.3">
      <c r="A32" s="73" t="s">
        <v>179</v>
      </c>
      <c r="B32" s="74" t="s">
        <v>204</v>
      </c>
      <c r="C32" s="74"/>
      <c r="D32" s="38"/>
    </row>
    <row r="33" spans="1:4" x14ac:dyDescent="0.3">
      <c r="A33" s="73"/>
      <c r="B33" s="38" t="s">
        <v>178</v>
      </c>
      <c r="C33" s="38" t="s">
        <v>210</v>
      </c>
      <c r="D33" s="38"/>
    </row>
    <row r="34" spans="1:4" x14ac:dyDescent="0.3">
      <c r="A34" s="73"/>
      <c r="B34" s="73"/>
      <c r="C34" s="73"/>
      <c r="D34" s="40"/>
    </row>
    <row r="35" spans="1:4" x14ac:dyDescent="0.3">
      <c r="A35" s="73" t="s">
        <v>180</v>
      </c>
      <c r="B35" s="74" t="s">
        <v>205</v>
      </c>
      <c r="C35" s="74"/>
      <c r="D35" s="38"/>
    </row>
    <row r="36" spans="1:4" x14ac:dyDescent="0.3">
      <c r="A36" s="73"/>
      <c r="B36" s="38" t="s">
        <v>178</v>
      </c>
      <c r="C36" s="38" t="s">
        <v>214</v>
      </c>
      <c r="D36" s="38"/>
    </row>
    <row r="37" spans="1:4" x14ac:dyDescent="0.3">
      <c r="A37" s="73"/>
      <c r="B37" s="73"/>
      <c r="C37" s="73"/>
      <c r="D37" s="40"/>
    </row>
    <row r="38" spans="1:4" x14ac:dyDescent="0.3">
      <c r="A38" s="73" t="s">
        <v>181</v>
      </c>
      <c r="B38" s="74" t="s">
        <v>208</v>
      </c>
      <c r="C38" s="74"/>
      <c r="D38" s="38"/>
    </row>
    <row r="39" spans="1:4" x14ac:dyDescent="0.3">
      <c r="A39" s="73"/>
      <c r="B39" s="38" t="s">
        <v>178</v>
      </c>
      <c r="C39" s="38" t="s">
        <v>216</v>
      </c>
      <c r="D39" s="38"/>
    </row>
    <row r="40" spans="1:4" x14ac:dyDescent="0.3">
      <c r="A40" s="73"/>
      <c r="B40" s="38" t="s">
        <v>185</v>
      </c>
      <c r="C40" s="38" t="s">
        <v>217</v>
      </c>
      <c r="D40" s="38"/>
    </row>
    <row r="41" spans="1:4" x14ac:dyDescent="0.3">
      <c r="A41" s="73"/>
      <c r="B41" s="38" t="s">
        <v>186</v>
      </c>
      <c r="C41" s="38" t="s">
        <v>218</v>
      </c>
      <c r="D41" s="38"/>
    </row>
    <row r="42" spans="1:4" x14ac:dyDescent="0.3">
      <c r="A42" s="73"/>
      <c r="B42" s="38" t="s">
        <v>191</v>
      </c>
      <c r="C42" s="38" t="s">
        <v>219</v>
      </c>
      <c r="D42" s="38"/>
    </row>
    <row r="43" spans="1:4" x14ac:dyDescent="0.3">
      <c r="A43" s="40"/>
      <c r="B43" s="38"/>
      <c r="C43" s="38"/>
      <c r="D43" s="38"/>
    </row>
    <row r="44" spans="1:4" x14ac:dyDescent="0.3">
      <c r="A44" s="73" t="s">
        <v>182</v>
      </c>
      <c r="B44" s="74" t="s">
        <v>206</v>
      </c>
      <c r="C44" s="74"/>
      <c r="D44" s="38"/>
    </row>
    <row r="45" spans="1:4" x14ac:dyDescent="0.3">
      <c r="A45" s="73"/>
      <c r="B45" s="38" t="s">
        <v>178</v>
      </c>
      <c r="C45" s="38" t="s">
        <v>224</v>
      </c>
      <c r="D45" s="38"/>
    </row>
    <row r="46" spans="1:4" x14ac:dyDescent="0.3">
      <c r="A46" s="40"/>
      <c r="B46" s="38"/>
      <c r="C46" s="38"/>
      <c r="D46" s="38"/>
    </row>
    <row r="47" spans="1:4" x14ac:dyDescent="0.3">
      <c r="A47" s="73" t="s">
        <v>183</v>
      </c>
      <c r="B47" s="74" t="s">
        <v>207</v>
      </c>
      <c r="C47" s="74"/>
      <c r="D47" s="38"/>
    </row>
    <row r="48" spans="1:4" x14ac:dyDescent="0.3">
      <c r="A48" s="73"/>
      <c r="B48" s="38" t="s">
        <v>178</v>
      </c>
      <c r="C48" s="38" t="s">
        <v>225</v>
      </c>
      <c r="D48" s="38"/>
    </row>
    <row r="49" spans="1:8" x14ac:dyDescent="0.3">
      <c r="A49" s="73"/>
      <c r="B49" s="73"/>
      <c r="C49" s="73"/>
      <c r="D49" s="40"/>
    </row>
    <row r="50" spans="1:8" x14ac:dyDescent="0.3">
      <c r="A50" s="75" t="s">
        <v>184</v>
      </c>
      <c r="B50" s="74" t="s">
        <v>227</v>
      </c>
      <c r="C50" s="74"/>
      <c r="D50" s="38"/>
    </row>
    <row r="51" spans="1:8" x14ac:dyDescent="0.3">
      <c r="A51" s="75"/>
      <c r="B51" s="74" t="s">
        <v>203</v>
      </c>
      <c r="C51" s="74"/>
      <c r="D51" s="38"/>
    </row>
    <row r="52" spans="1:8" x14ac:dyDescent="0.3">
      <c r="A52" s="75"/>
      <c r="B52" s="38" t="s">
        <v>178</v>
      </c>
      <c r="C52" s="38" t="s">
        <v>233</v>
      </c>
      <c r="D52" s="38"/>
    </row>
    <row r="53" spans="1:8" x14ac:dyDescent="0.3">
      <c r="C53" s="48">
        <f>AVERAGE(Produksi_Unik!Q2:Q150)</f>
        <v>4.1911054750963226</v>
      </c>
      <c r="D53" s="32" t="str">
        <f>IF(AVERAGE(Produksi_Unik!Q2:Q150)&gt;2.5,"Perlu dipindahkan","Tidak perlu dipindahkan")</f>
        <v>Perlu dipindahkan</v>
      </c>
    </row>
    <row r="55" spans="1:8" x14ac:dyDescent="0.3">
      <c r="A55" s="66" t="s">
        <v>2</v>
      </c>
      <c r="B55" s="66"/>
      <c r="C55" s="66"/>
      <c r="D55" s="47"/>
    </row>
    <row r="56" spans="1:8" x14ac:dyDescent="0.3">
      <c r="A56" s="41" t="s">
        <v>179</v>
      </c>
      <c r="B56" s="65" t="s">
        <v>228</v>
      </c>
      <c r="C56" s="65"/>
      <c r="D56" s="37"/>
      <c r="E56" s="42" t="s">
        <v>187</v>
      </c>
      <c r="F56" t="s">
        <v>243</v>
      </c>
    </row>
    <row r="57" spans="1:8" x14ac:dyDescent="0.3">
      <c r="A57" s="1"/>
      <c r="B57" s="37" t="s">
        <v>178</v>
      </c>
      <c r="C57" t="s">
        <v>247</v>
      </c>
      <c r="E57" s="42" t="s">
        <v>195</v>
      </c>
      <c r="F57" t="s">
        <v>243</v>
      </c>
    </row>
    <row r="58" spans="1:8" ht="28.8" x14ac:dyDescent="0.3">
      <c r="A58" s="1"/>
      <c r="B58" s="38" t="s">
        <v>185</v>
      </c>
      <c r="C58" s="35" t="s">
        <v>249</v>
      </c>
      <c r="D58" s="35"/>
    </row>
    <row r="59" spans="1:8" ht="28.8" x14ac:dyDescent="0.3">
      <c r="A59" s="1"/>
      <c r="B59" s="38" t="s">
        <v>186</v>
      </c>
      <c r="C59" s="35" t="s">
        <v>250</v>
      </c>
      <c r="E59" s="42" t="s">
        <v>229</v>
      </c>
      <c r="F59" s="43" t="s">
        <v>231</v>
      </c>
      <c r="G59" s="43" t="s">
        <v>232</v>
      </c>
      <c r="H59" s="44" t="s">
        <v>248</v>
      </c>
    </row>
    <row r="60" spans="1:8" x14ac:dyDescent="0.3">
      <c r="A60" s="1"/>
      <c r="E60" s="37" t="s">
        <v>29</v>
      </c>
      <c r="F60" s="43">
        <v>250054</v>
      </c>
      <c r="G60" s="43">
        <v>190758</v>
      </c>
      <c r="H60" s="30">
        <f>F60/G60</f>
        <v>1.3108441061449585</v>
      </c>
    </row>
    <row r="61" spans="1:8" x14ac:dyDescent="0.3">
      <c r="A61" s="1"/>
      <c r="E61" s="37" t="s">
        <v>34</v>
      </c>
      <c r="F61" s="43">
        <v>229842</v>
      </c>
      <c r="G61" s="43">
        <v>150277</v>
      </c>
      <c r="H61" s="30">
        <f t="shared" ref="H61:H63" si="0">F61/G61</f>
        <v>1.5294556053155173</v>
      </c>
    </row>
    <row r="62" spans="1:8" x14ac:dyDescent="0.3">
      <c r="E62" s="37" t="s">
        <v>20</v>
      </c>
      <c r="F62" s="43">
        <v>193336</v>
      </c>
      <c r="G62" s="43">
        <v>163944</v>
      </c>
      <c r="H62" s="30">
        <f t="shared" si="0"/>
        <v>1.1792807300053676</v>
      </c>
    </row>
    <row r="63" spans="1:8" x14ac:dyDescent="0.3">
      <c r="E63" s="37" t="s">
        <v>230</v>
      </c>
      <c r="F63" s="43">
        <v>673232</v>
      </c>
      <c r="G63" s="43">
        <v>504979</v>
      </c>
      <c r="H63" s="30">
        <f t="shared" si="0"/>
        <v>1.3331881127730063</v>
      </c>
    </row>
    <row r="66" spans="1:6" x14ac:dyDescent="0.3">
      <c r="A66" s="41" t="s">
        <v>234</v>
      </c>
      <c r="B66" s="65" t="s">
        <v>235</v>
      </c>
      <c r="C66" s="65"/>
      <c r="D66" s="37"/>
      <c r="E66" s="42" t="s">
        <v>187</v>
      </c>
      <c r="F66" t="s">
        <v>243</v>
      </c>
    </row>
    <row r="67" spans="1:6" x14ac:dyDescent="0.3">
      <c r="B67" s="37" t="s">
        <v>178</v>
      </c>
      <c r="C67" t="s">
        <v>251</v>
      </c>
    </row>
    <row r="68" spans="1:6" x14ac:dyDescent="0.3">
      <c r="E68" s="42" t="s">
        <v>229</v>
      </c>
      <c r="F68" t="s">
        <v>242</v>
      </c>
    </row>
    <row r="69" spans="1:6" x14ac:dyDescent="0.3">
      <c r="E69" s="37" t="s">
        <v>108</v>
      </c>
      <c r="F69">
        <v>27</v>
      </c>
    </row>
    <row r="70" spans="1:6" x14ac:dyDescent="0.3">
      <c r="E70" s="37" t="s">
        <v>111</v>
      </c>
      <c r="F70">
        <v>43</v>
      </c>
    </row>
    <row r="71" spans="1:6" x14ac:dyDescent="0.3">
      <c r="E71" s="37" t="s">
        <v>115</v>
      </c>
      <c r="F71">
        <v>24</v>
      </c>
    </row>
    <row r="72" spans="1:6" x14ac:dyDescent="0.3">
      <c r="E72" s="37" t="s">
        <v>113</v>
      </c>
      <c r="F72">
        <v>29</v>
      </c>
    </row>
    <row r="73" spans="1:6" x14ac:dyDescent="0.3">
      <c r="E73" s="37" t="s">
        <v>109</v>
      </c>
      <c r="F73">
        <v>26</v>
      </c>
    </row>
    <row r="74" spans="1:6" x14ac:dyDescent="0.3">
      <c r="E74" s="37" t="s">
        <v>230</v>
      </c>
      <c r="F74">
        <v>149</v>
      </c>
    </row>
    <row r="77" spans="1:6" x14ac:dyDescent="0.3">
      <c r="A77" s="41" t="s">
        <v>236</v>
      </c>
      <c r="B77" s="37" t="s">
        <v>237</v>
      </c>
      <c r="C77" s="37"/>
      <c r="D77" s="37"/>
      <c r="E77" s="42" t="s">
        <v>187</v>
      </c>
      <c r="F77" t="s">
        <v>243</v>
      </c>
    </row>
    <row r="78" spans="1:6" x14ac:dyDescent="0.3">
      <c r="B78" s="37" t="s">
        <v>178</v>
      </c>
      <c r="C78" t="s">
        <v>252</v>
      </c>
    </row>
    <row r="79" spans="1:6" x14ac:dyDescent="0.3">
      <c r="E79" s="42" t="s">
        <v>229</v>
      </c>
      <c r="F79" t="s">
        <v>238</v>
      </c>
    </row>
    <row r="80" spans="1:6" x14ac:dyDescent="0.3">
      <c r="E80" s="37" t="s">
        <v>108</v>
      </c>
      <c r="F80" s="45">
        <v>1719.5399999999997</v>
      </c>
    </row>
    <row r="81" spans="1:8" x14ac:dyDescent="0.3">
      <c r="E81" s="37" t="s">
        <v>111</v>
      </c>
      <c r="F81" s="45">
        <v>3250.6299999999997</v>
      </c>
    </row>
    <row r="82" spans="1:8" x14ac:dyDescent="0.3">
      <c r="E82" s="37" t="s">
        <v>115</v>
      </c>
      <c r="F82" s="45">
        <v>1805.4600000000003</v>
      </c>
    </row>
    <row r="83" spans="1:8" x14ac:dyDescent="0.3">
      <c r="E83" s="37" t="s">
        <v>113</v>
      </c>
      <c r="F83" s="45">
        <v>2307.9299999999998</v>
      </c>
    </row>
    <row r="84" spans="1:8" x14ac:dyDescent="0.3">
      <c r="E84" s="37" t="s">
        <v>109</v>
      </c>
      <c r="F84" s="45">
        <v>1851.3</v>
      </c>
    </row>
    <row r="85" spans="1:8" x14ac:dyDescent="0.3">
      <c r="E85" s="37" t="s">
        <v>230</v>
      </c>
      <c r="F85" s="45">
        <v>10934.859999999999</v>
      </c>
    </row>
    <row r="88" spans="1:8" x14ac:dyDescent="0.3">
      <c r="A88" s="41" t="s">
        <v>244</v>
      </c>
      <c r="B88" s="65" t="s">
        <v>245</v>
      </c>
      <c r="C88" s="65"/>
      <c r="D88" s="37"/>
      <c r="E88" s="42" t="s">
        <v>187</v>
      </c>
      <c r="F88" t="s">
        <v>243</v>
      </c>
    </row>
    <row r="89" spans="1:8" x14ac:dyDescent="0.3">
      <c r="B89" s="37" t="s">
        <v>178</v>
      </c>
      <c r="C89" t="s">
        <v>253</v>
      </c>
    </row>
    <row r="90" spans="1:8" x14ac:dyDescent="0.3">
      <c r="B90" s="23" t="s">
        <v>185</v>
      </c>
      <c r="C90" s="46" t="s">
        <v>254</v>
      </c>
      <c r="E90" s="42" t="s">
        <v>246</v>
      </c>
      <c r="F90" s="42" t="s">
        <v>239</v>
      </c>
    </row>
    <row r="91" spans="1:8" x14ac:dyDescent="0.3">
      <c r="E91" s="42" t="s">
        <v>229</v>
      </c>
      <c r="F91" t="s">
        <v>240</v>
      </c>
      <c r="G91" t="s">
        <v>241</v>
      </c>
      <c r="H91" t="s">
        <v>230</v>
      </c>
    </row>
    <row r="92" spans="1:8" x14ac:dyDescent="0.3">
      <c r="E92" s="37" t="s">
        <v>108</v>
      </c>
      <c r="F92" s="30">
        <v>12.727500000000001</v>
      </c>
      <c r="G92" s="30">
        <v>7.0120000000000005</v>
      </c>
      <c r="H92" s="30">
        <v>9.5522222222222233</v>
      </c>
    </row>
    <row r="93" spans="1:8" x14ac:dyDescent="0.3">
      <c r="E93" s="37" t="s">
        <v>111</v>
      </c>
      <c r="F93" s="30">
        <v>12.268636363636364</v>
      </c>
      <c r="G93" s="30">
        <v>7.4014285714285721</v>
      </c>
      <c r="H93" s="30">
        <v>9.8916279069767423</v>
      </c>
    </row>
    <row r="94" spans="1:8" x14ac:dyDescent="0.3">
      <c r="E94" s="37" t="s">
        <v>115</v>
      </c>
      <c r="F94" s="30">
        <v>12.375454545454547</v>
      </c>
      <c r="G94" s="30">
        <v>8.1738461538461529</v>
      </c>
      <c r="H94" s="30">
        <v>10.099583333333335</v>
      </c>
    </row>
    <row r="95" spans="1:8" x14ac:dyDescent="0.3">
      <c r="E95" s="37" t="s">
        <v>113</v>
      </c>
      <c r="F95" s="30">
        <v>12.436153846153845</v>
      </c>
      <c r="G95" s="30">
        <v>7.5131250000000005</v>
      </c>
      <c r="H95" s="30">
        <v>9.7200000000000006</v>
      </c>
    </row>
    <row r="96" spans="1:8" x14ac:dyDescent="0.3">
      <c r="E96" s="37" t="s">
        <v>109</v>
      </c>
      <c r="F96" s="30">
        <v>13.263076923076921</v>
      </c>
      <c r="G96" s="30">
        <v>7.0953846153846154</v>
      </c>
      <c r="H96" s="30">
        <v>10.17923076923077</v>
      </c>
    </row>
    <row r="97" spans="1:8" x14ac:dyDescent="0.3">
      <c r="E97" s="37" t="s">
        <v>230</v>
      </c>
      <c r="F97" s="30">
        <v>12.575492957746478</v>
      </c>
      <c r="G97" s="30">
        <v>7.4271794871794876</v>
      </c>
      <c r="H97" s="30">
        <v>9.8804026845637587</v>
      </c>
    </row>
    <row r="100" spans="1:8" x14ac:dyDescent="0.3">
      <c r="A100" s="66" t="s">
        <v>3</v>
      </c>
      <c r="B100" s="66"/>
      <c r="C100" s="66"/>
    </row>
    <row r="101" spans="1:8" x14ac:dyDescent="0.3">
      <c r="A101" s="67" t="s">
        <v>256</v>
      </c>
      <c r="B101" s="67"/>
      <c r="C101" s="67"/>
    </row>
    <row r="102" spans="1:8" x14ac:dyDescent="0.3">
      <c r="A102" s="1"/>
    </row>
    <row r="103" spans="1:8" x14ac:dyDescent="0.3">
      <c r="A103" s="1"/>
    </row>
    <row r="104" spans="1:8" x14ac:dyDescent="0.3">
      <c r="A104" s="68" t="s">
        <v>167</v>
      </c>
      <c r="B104" s="68"/>
      <c r="C104" s="68"/>
    </row>
    <row r="105" spans="1:8" ht="87" customHeight="1" x14ac:dyDescent="0.3">
      <c r="A105" s="64" t="s">
        <v>257</v>
      </c>
      <c r="B105" s="64"/>
      <c r="C105" s="64"/>
    </row>
  </sheetData>
  <mergeCells count="44">
    <mergeCell ref="A26:C26"/>
    <mergeCell ref="A24:A25"/>
    <mergeCell ref="B56:C56"/>
    <mergeCell ref="A37:C37"/>
    <mergeCell ref="B38:C38"/>
    <mergeCell ref="B44:C44"/>
    <mergeCell ref="B47:C47"/>
    <mergeCell ref="A47:A48"/>
    <mergeCell ref="B50:C50"/>
    <mergeCell ref="A49:C49"/>
    <mergeCell ref="B51:C51"/>
    <mergeCell ref="A50:A52"/>
    <mergeCell ref="A55:C55"/>
    <mergeCell ref="A32:A33"/>
    <mergeCell ref="A35:A36"/>
    <mergeCell ref="A38:A42"/>
    <mergeCell ref="A44:A45"/>
    <mergeCell ref="B27:C27"/>
    <mergeCell ref="A31:C31"/>
    <mergeCell ref="B32:C32"/>
    <mergeCell ref="B35:C35"/>
    <mergeCell ref="A34:C34"/>
    <mergeCell ref="A27:A28"/>
    <mergeCell ref="B11:C11"/>
    <mergeCell ref="A11:A13"/>
    <mergeCell ref="B66:C66"/>
    <mergeCell ref="A1:C1"/>
    <mergeCell ref="A3:C3"/>
    <mergeCell ref="B4:C4"/>
    <mergeCell ref="A4:A9"/>
    <mergeCell ref="A10:C10"/>
    <mergeCell ref="A14:C14"/>
    <mergeCell ref="B15:C15"/>
    <mergeCell ref="A18:C18"/>
    <mergeCell ref="B19:C19"/>
    <mergeCell ref="A23:C23"/>
    <mergeCell ref="A15:A17"/>
    <mergeCell ref="A19:A22"/>
    <mergeCell ref="B24:C24"/>
    <mergeCell ref="A105:C105"/>
    <mergeCell ref="B88:C88"/>
    <mergeCell ref="A100:C100"/>
    <mergeCell ref="A101:C101"/>
    <mergeCell ref="A104:C104"/>
  </mergeCells>
  <pageMargins left="0.7" right="0.7" top="0.75" bottom="0.75" header="0.3" footer="0.3"/>
  <pageSetup paperSize="9" orientation="portrait" verticalDpi="0" r:id="rId5"/>
  <ignoredErrors>
    <ignoredError sqref="A4 A11 A15 A19 A24 A27 A50 A32 A38 A44 A47 A34:A35 A56 A66 A77 A88" numberStoredAsText="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578F5-C7BD-426C-A135-9561930C4C64}">
  <sheetPr codeName="Sheet5">
    <tabColor rgb="FF92D050"/>
  </sheetPr>
  <dimension ref="A1:L301"/>
  <sheetViews>
    <sheetView topLeftCell="B1" zoomScale="97" zoomScaleNormal="128" workbookViewId="0">
      <pane ySplit="1" topLeftCell="A274" activePane="bottomLeft" state="frozen"/>
      <selection pane="bottomLeft" activeCell="M1" sqref="M1:M301"/>
    </sheetView>
  </sheetViews>
  <sheetFormatPr defaultRowHeight="14.4" x14ac:dyDescent="0.3"/>
  <cols>
    <col min="1" max="1" width="10.6640625" bestFit="1" customWidth="1"/>
    <col min="2" max="2" width="8.6640625" bestFit="1" customWidth="1"/>
    <col min="3" max="3" width="7.33203125" bestFit="1" customWidth="1"/>
    <col min="4" max="4" width="9.44140625" bestFit="1" customWidth="1"/>
    <col min="5" max="5" width="8" bestFit="1" customWidth="1"/>
    <col min="6" max="6" width="11.5546875" bestFit="1" customWidth="1"/>
    <col min="7" max="7" width="12.88671875" bestFit="1" customWidth="1"/>
    <col min="8" max="8" width="14.88671875" bestFit="1" customWidth="1"/>
    <col min="9" max="9" width="12.109375" bestFit="1" customWidth="1"/>
    <col min="10" max="10" width="16.88671875" bestFit="1" customWidth="1"/>
    <col min="11" max="11" width="18.44140625" bestFit="1" customWidth="1"/>
    <col min="12" max="12" width="12.77734375" bestFit="1" customWidth="1"/>
    <col min="13" max="13" width="14.5546875" bestFit="1" customWidth="1"/>
    <col min="14" max="14" width="19" bestFit="1" customWidth="1"/>
    <col min="15" max="15" width="16.109375" bestFit="1" customWidth="1"/>
    <col min="16" max="16" width="5.5546875" bestFit="1" customWidth="1"/>
    <col min="17" max="17" width="10.77734375" bestFit="1" customWidth="1"/>
    <col min="18" max="18" width="19.5546875" bestFit="1" customWidth="1"/>
    <col min="19" max="19" width="24.109375" bestFit="1" customWidth="1"/>
    <col min="20" max="22" width="12.33203125" bestFit="1" customWidth="1"/>
    <col min="23" max="23" width="15.109375" bestFit="1" customWidth="1"/>
    <col min="24" max="25" width="12.33203125" bestFit="1" customWidth="1"/>
    <col min="26" max="26" width="15.109375" bestFit="1" customWidth="1"/>
    <col min="27" max="27" width="12.33203125" bestFit="1" customWidth="1"/>
    <col min="28" max="28" width="15.109375" bestFit="1" customWidth="1"/>
    <col min="29" max="29" width="12.33203125" bestFit="1" customWidth="1"/>
    <col min="30" max="30" width="15.109375" bestFit="1" customWidth="1"/>
    <col min="31" max="32" width="12.33203125" bestFit="1" customWidth="1"/>
    <col min="33" max="33" width="15.109375" bestFit="1" customWidth="1"/>
    <col min="34" max="36" width="12.33203125" bestFit="1" customWidth="1"/>
    <col min="37" max="37" width="15.109375" bestFit="1" customWidth="1"/>
    <col min="38" max="38" width="12.33203125" bestFit="1" customWidth="1"/>
    <col min="39" max="39" width="15.109375" bestFit="1" customWidth="1"/>
    <col min="40" max="40" width="12.33203125" bestFit="1" customWidth="1"/>
    <col min="41" max="41" width="15.109375" bestFit="1" customWidth="1"/>
    <col min="42" max="43" width="12.33203125" bestFit="1" customWidth="1"/>
    <col min="44" max="44" width="15.109375" bestFit="1" customWidth="1"/>
    <col min="45" max="46" width="12.33203125" bestFit="1" customWidth="1"/>
    <col min="47" max="47" width="15.109375" bestFit="1" customWidth="1"/>
    <col min="48" max="49" width="12.33203125" bestFit="1" customWidth="1"/>
    <col min="50" max="50" width="15.109375" bestFit="1" customWidth="1"/>
    <col min="51" max="51" width="12.33203125" bestFit="1" customWidth="1"/>
    <col min="52" max="52" width="15.109375" bestFit="1" customWidth="1"/>
    <col min="53" max="53" width="12.33203125" bestFit="1" customWidth="1"/>
    <col min="54" max="54" width="15.109375" bestFit="1" customWidth="1"/>
    <col min="55" max="56" width="12.33203125" bestFit="1" customWidth="1"/>
    <col min="57" max="57" width="15.109375" bestFit="1" customWidth="1"/>
    <col min="58" max="59" width="12.33203125" bestFit="1" customWidth="1"/>
    <col min="60" max="60" width="15.109375" bestFit="1" customWidth="1"/>
    <col min="61" max="61" width="12.33203125" bestFit="1" customWidth="1"/>
    <col min="62" max="62" width="15.109375" bestFit="1" customWidth="1"/>
    <col min="63" max="63" width="12.33203125" bestFit="1" customWidth="1"/>
    <col min="64" max="64" width="15.109375" bestFit="1" customWidth="1"/>
    <col min="65" max="65" width="12.33203125" bestFit="1" customWidth="1"/>
    <col min="66" max="66" width="15.109375" bestFit="1" customWidth="1"/>
    <col min="67" max="68" width="12.33203125" bestFit="1" customWidth="1"/>
    <col min="69" max="69" width="15.109375" bestFit="1" customWidth="1"/>
    <col min="70" max="70" width="12.33203125" bestFit="1" customWidth="1"/>
    <col min="71" max="71" width="15.109375" bestFit="1" customWidth="1"/>
    <col min="72" max="72" width="12.33203125" bestFit="1" customWidth="1"/>
    <col min="73" max="73" width="15.109375" bestFit="1" customWidth="1"/>
    <col min="74" max="74" width="12.33203125" bestFit="1" customWidth="1"/>
    <col min="75" max="75" width="15.109375" bestFit="1" customWidth="1"/>
    <col min="76" max="76" width="12.33203125" bestFit="1" customWidth="1"/>
    <col min="77" max="77" width="15.109375" bestFit="1" customWidth="1"/>
    <col min="78" max="78" width="12.33203125" bestFit="1" customWidth="1"/>
    <col min="79" max="79" width="15.109375" bestFit="1" customWidth="1"/>
    <col min="80" max="81" width="12.33203125" bestFit="1" customWidth="1"/>
    <col min="82" max="82" width="15.109375" bestFit="1" customWidth="1"/>
    <col min="83" max="84" width="12.33203125" bestFit="1" customWidth="1"/>
    <col min="85" max="85" width="15.109375" bestFit="1" customWidth="1"/>
    <col min="86" max="87" width="12.33203125" bestFit="1" customWidth="1"/>
    <col min="88" max="88" width="15.109375" bestFit="1" customWidth="1"/>
    <col min="89" max="90" width="12.33203125" bestFit="1" customWidth="1"/>
    <col min="91" max="91" width="15.109375" bestFit="1" customWidth="1"/>
    <col min="92" max="92" width="12.33203125" bestFit="1" customWidth="1"/>
    <col min="93" max="93" width="15.109375" bestFit="1" customWidth="1"/>
    <col min="94" max="94" width="12.33203125" bestFit="1" customWidth="1"/>
    <col min="95" max="95" width="15.109375" bestFit="1" customWidth="1"/>
    <col min="96" max="97" width="12.33203125" bestFit="1" customWidth="1"/>
    <col min="98" max="98" width="15.109375" bestFit="1" customWidth="1"/>
    <col min="99" max="99" width="12.33203125" bestFit="1" customWidth="1"/>
    <col min="100" max="100" width="15.109375" bestFit="1" customWidth="1"/>
    <col min="101" max="101" width="12.33203125" bestFit="1" customWidth="1"/>
    <col min="102" max="102" width="15.109375" bestFit="1" customWidth="1"/>
    <col min="103" max="104" width="12.33203125" bestFit="1" customWidth="1"/>
    <col min="105" max="105" width="15.109375" bestFit="1" customWidth="1"/>
    <col min="106" max="107" width="12.33203125" bestFit="1" customWidth="1"/>
    <col min="108" max="108" width="15.109375" bestFit="1" customWidth="1"/>
    <col min="109" max="110" width="12.33203125" bestFit="1" customWidth="1"/>
    <col min="111" max="111" width="15.109375" bestFit="1" customWidth="1"/>
    <col min="112" max="114" width="12.33203125" bestFit="1" customWidth="1"/>
    <col min="115" max="115" width="15.109375" bestFit="1" customWidth="1"/>
    <col min="116" max="116" width="12.33203125" bestFit="1" customWidth="1"/>
    <col min="117" max="117" width="15.109375" bestFit="1" customWidth="1"/>
    <col min="118" max="118" width="12.33203125" bestFit="1" customWidth="1"/>
    <col min="119" max="119" width="15.109375" bestFit="1" customWidth="1"/>
    <col min="120" max="120" width="12.33203125" bestFit="1" customWidth="1"/>
    <col min="121" max="121" width="15.109375" bestFit="1" customWidth="1"/>
    <col min="122" max="123" width="12.33203125" bestFit="1" customWidth="1"/>
    <col min="124" max="124" width="15.109375" bestFit="1" customWidth="1"/>
    <col min="125" max="125" width="12.33203125" bestFit="1" customWidth="1"/>
    <col min="126" max="126" width="15.109375" bestFit="1" customWidth="1"/>
    <col min="127" max="128" width="12.33203125" bestFit="1" customWidth="1"/>
    <col min="129" max="129" width="15.109375" bestFit="1" customWidth="1"/>
    <col min="130" max="130" width="12.33203125" bestFit="1" customWidth="1"/>
    <col min="131" max="131" width="15.109375" bestFit="1" customWidth="1"/>
    <col min="132" max="133" width="12.33203125" bestFit="1" customWidth="1"/>
    <col min="134" max="134" width="15.109375" bestFit="1" customWidth="1"/>
    <col min="135" max="136" width="12.33203125" bestFit="1" customWidth="1"/>
    <col min="137" max="137" width="15.109375" bestFit="1" customWidth="1"/>
    <col min="138" max="140" width="12.33203125" bestFit="1" customWidth="1"/>
    <col min="141" max="141" width="15.109375" bestFit="1" customWidth="1"/>
    <col min="142" max="142" width="12.33203125" bestFit="1" customWidth="1"/>
    <col min="143" max="143" width="15.109375" bestFit="1" customWidth="1"/>
    <col min="144" max="144" width="12.33203125" bestFit="1" customWidth="1"/>
    <col min="145" max="145" width="15.109375" bestFit="1" customWidth="1"/>
    <col min="146" max="146" width="12.33203125" bestFit="1" customWidth="1"/>
    <col min="147" max="147" width="15.109375" bestFit="1" customWidth="1"/>
    <col min="148" max="148" width="12.33203125" bestFit="1" customWidth="1"/>
    <col min="149" max="149" width="15.109375" bestFit="1" customWidth="1"/>
    <col min="150" max="152" width="12.33203125" bestFit="1" customWidth="1"/>
    <col min="153" max="153" width="15.109375" bestFit="1" customWidth="1"/>
    <col min="154" max="155" width="12.33203125" bestFit="1" customWidth="1"/>
    <col min="156" max="156" width="15.109375" bestFit="1" customWidth="1"/>
    <col min="157" max="159" width="12.33203125" bestFit="1" customWidth="1"/>
    <col min="160" max="160" width="15.109375" bestFit="1" customWidth="1"/>
    <col min="161" max="161" width="12.33203125" bestFit="1" customWidth="1"/>
    <col min="162" max="162" width="15.109375" bestFit="1" customWidth="1"/>
    <col min="163" max="163" width="12.33203125" bestFit="1" customWidth="1"/>
    <col min="164" max="164" width="15.109375" bestFit="1" customWidth="1"/>
    <col min="165" max="165" width="12.33203125" bestFit="1" customWidth="1"/>
    <col min="166" max="166" width="15.109375" bestFit="1" customWidth="1"/>
    <col min="167" max="167" width="12.33203125" bestFit="1" customWidth="1"/>
    <col min="168" max="168" width="15.109375" bestFit="1" customWidth="1"/>
    <col min="169" max="170" width="12.33203125" bestFit="1" customWidth="1"/>
    <col min="171" max="171" width="15.109375" bestFit="1" customWidth="1"/>
    <col min="172" max="172" width="12.33203125" bestFit="1" customWidth="1"/>
    <col min="173" max="173" width="15.109375" bestFit="1" customWidth="1"/>
    <col min="174" max="174" width="12.33203125" bestFit="1" customWidth="1"/>
    <col min="175" max="175" width="15.109375" bestFit="1" customWidth="1"/>
    <col min="176" max="176" width="12.33203125" bestFit="1" customWidth="1"/>
    <col min="177" max="177" width="15.109375" bestFit="1" customWidth="1"/>
    <col min="178" max="178" width="12.33203125" bestFit="1" customWidth="1"/>
    <col min="179" max="179" width="15.109375" bestFit="1" customWidth="1"/>
    <col min="180" max="182" width="12.33203125" bestFit="1" customWidth="1"/>
    <col min="183" max="183" width="15.109375" bestFit="1" customWidth="1"/>
    <col min="184" max="185" width="12.33203125" bestFit="1" customWidth="1"/>
    <col min="186" max="186" width="15.109375" bestFit="1" customWidth="1"/>
    <col min="187" max="188" width="12.33203125" bestFit="1" customWidth="1"/>
    <col min="189" max="189" width="15.109375" bestFit="1" customWidth="1"/>
    <col min="190" max="190" width="12.33203125" bestFit="1" customWidth="1"/>
    <col min="191" max="191" width="15.109375" bestFit="1" customWidth="1"/>
    <col min="192" max="192" width="12.33203125" bestFit="1" customWidth="1"/>
    <col min="193" max="193" width="15.109375" bestFit="1" customWidth="1"/>
    <col min="194" max="194" width="12.33203125" bestFit="1" customWidth="1"/>
    <col min="195" max="195" width="15.109375" bestFit="1" customWidth="1"/>
    <col min="196" max="197" width="12.33203125" bestFit="1" customWidth="1"/>
    <col min="198" max="198" width="15.109375" bestFit="1" customWidth="1"/>
    <col min="199" max="200" width="9" bestFit="1" customWidth="1"/>
    <col min="201" max="201" width="11.6640625" bestFit="1" customWidth="1"/>
    <col min="202" max="202" width="10.77734375" bestFit="1" customWidth="1"/>
  </cols>
  <sheetData>
    <row r="1" spans="1:12" x14ac:dyDescent="0.3">
      <c r="A1" s="2" t="s">
        <v>9</v>
      </c>
      <c r="B1" s="2" t="s">
        <v>10</v>
      </c>
      <c r="C1" s="2" t="s">
        <v>11</v>
      </c>
      <c r="D1" s="2" t="s">
        <v>12</v>
      </c>
      <c r="E1" s="2" t="s">
        <v>13</v>
      </c>
      <c r="F1" s="2" t="s">
        <v>14</v>
      </c>
      <c r="G1" s="2" t="s">
        <v>15</v>
      </c>
      <c r="H1" s="2" t="s">
        <v>16</v>
      </c>
      <c r="I1" s="2" t="s">
        <v>17</v>
      </c>
      <c r="J1" s="2" t="s">
        <v>18</v>
      </c>
      <c r="K1" s="2" t="s">
        <v>187</v>
      </c>
      <c r="L1" s="2" t="s">
        <v>195</v>
      </c>
    </row>
    <row r="2" spans="1:12" x14ac:dyDescent="0.3">
      <c r="A2" s="25" t="s">
        <v>92</v>
      </c>
      <c r="B2" t="s">
        <v>20</v>
      </c>
      <c r="C2" t="s">
        <v>21</v>
      </c>
      <c r="D2" t="s">
        <v>31</v>
      </c>
      <c r="E2" s="22" t="s">
        <v>32</v>
      </c>
      <c r="F2">
        <v>713</v>
      </c>
      <c r="G2">
        <v>6438</v>
      </c>
      <c r="H2">
        <v>9.92</v>
      </c>
      <c r="I2">
        <v>1.86</v>
      </c>
      <c r="J2">
        <v>8.06</v>
      </c>
      <c r="K2" s="25" t="str" cm="1">
        <f t="array" ref="K2">IF(
  ISNUMBER(DATEVALUE(A2)),
  TEXT(DATEVALUE(A2),"yyyy-mm-dd"),
  IFERROR(
    TEXT(INDEX($A$2:$A$301,MATCH(1,
      ($B$2:$B$301=B2) * ($C$2:$C$301=C2) * ($D$2:$D$301=D2) * ($E$2:$E$301=E2) *
      ($F$2:$F$301=F2) * ($G$2:$G$301=G2) * ($H$2:$H$301=H2) * ($I$2:$I$301=I2) *
      ($J$2:$J$301=J2),0)),"yyyy-mm-dd"),
    "Perlu Klarifikasi"
  )
)</f>
        <v>2024-01-01</v>
      </c>
      <c r="L2" t="str" cm="1">
        <f t="array" ref="L2">IF(
  E2&lt;&gt;"Evening",
  E2,
  IFERROR(
    INDEX($E$2:$E$301, SMALL(
      IF(
        ($B$2:$B$301=B2) * ($C$2:$C$301=C2) * ($D$2:$D$301=D2) *
        ($F$2:$F$301=F2) * ($G$2:$G$301=G2) * ($H$2:$H$301=H2) * ($I$2:$I$301=I2) *
        ($J$2:$J$301=J2) * ($K$2:$K$301=K2) * ($E$2:$E$301&lt;&gt;"Evening"),
        ROW($E$2:$E$301)-ROW($E$2)+1,
        ""
      ),
    1)),
    "Night"
  )
)</f>
        <v>Night</v>
      </c>
    </row>
    <row r="3" spans="1:12" x14ac:dyDescent="0.3">
      <c r="A3" s="25" t="s">
        <v>92</v>
      </c>
      <c r="B3" t="s">
        <v>20</v>
      </c>
      <c r="C3" t="s">
        <v>21</v>
      </c>
      <c r="D3" t="s">
        <v>31</v>
      </c>
      <c r="E3" t="s">
        <v>23</v>
      </c>
      <c r="F3">
        <v>713</v>
      </c>
      <c r="G3">
        <v>6438</v>
      </c>
      <c r="H3">
        <v>9.92</v>
      </c>
      <c r="I3">
        <v>1.86</v>
      </c>
      <c r="J3">
        <v>8.06</v>
      </c>
      <c r="K3" s="25" t="str" cm="1">
        <f t="array" ref="K3">IF(
  ISNUMBER(DATEVALUE(A3)),
  TEXT(DATEVALUE(A3),"yyyy-mm-dd"),
  IFERROR(
    TEXT(INDEX($A$2:$A$301,MATCH(1,
      ($B$2:$B$301=B3) * ($C$2:$C$301=C3) * ($D$2:$D$301=D3) * ($E$2:$E$301=E3) *
      ($F$2:$F$301=F3) * ($G$2:$G$301=G3) * ($H$2:$H$301=H3) * ($I$2:$I$301=I3) *
      ($J$2:$J$301=J3),0)),"yyyy-mm-dd"),
    "Perlu Klarifikasi"
  )
)</f>
        <v>2024-01-01</v>
      </c>
      <c r="L3" t="str" cm="1">
        <f t="array" ref="L3">IF(
  E3&lt;&gt;"Evening",
  E3,
  IFERROR(
    INDEX($E$2:$E$301, SMALL(
      IF(
        ($B$2:$B$301=B3) * ($C$2:$C$301=C3) * ($D$2:$D$301=D3) *
        ($F$2:$F$301=F3) * ($G$2:$G$301=G3) * ($H$2:$H$301=H3) * ($I$2:$I$301=I3) *
        ($J$2:$J$301=J3) * ($K$2:$K$301=K3) * ($E$2:$E$301&lt;&gt;"Evening"),
        ROW($E$2:$E$301)-ROW($E$2)+1,
        ""
      ),
    1)),
    "Night"
  )
)</f>
        <v>Night</v>
      </c>
    </row>
    <row r="4" spans="1:12" x14ac:dyDescent="0.3">
      <c r="A4" s="25" t="s">
        <v>92</v>
      </c>
      <c r="B4" t="s">
        <v>20</v>
      </c>
      <c r="C4" t="s">
        <v>25</v>
      </c>
      <c r="D4" t="s">
        <v>31</v>
      </c>
      <c r="E4" t="s">
        <v>23</v>
      </c>
      <c r="F4">
        <v>1366</v>
      </c>
      <c r="G4">
        <v>1078</v>
      </c>
      <c r="H4">
        <v>4.4400000000000004</v>
      </c>
      <c r="I4">
        <v>0.72</v>
      </c>
      <c r="J4">
        <v>3.72</v>
      </c>
      <c r="K4" s="25" t="str" cm="1">
        <f t="array" ref="K4">IF(
  ISNUMBER(DATEVALUE(A4)),
  TEXT(DATEVALUE(A4),"yyyy-mm-dd"),
  IFERROR(
    TEXT(INDEX($A$2:$A$301,MATCH(1,
      ($B$2:$B$301=B4) * ($C$2:$C$301=C4) * ($D$2:$D$301=D4) * ($E$2:$E$301=E4) *
      ($F$2:$F$301=F4) * ($G$2:$G$301=G4) * ($H$2:$H$301=H4) * ($I$2:$I$301=I4) *
      ($J$2:$J$301=J4),0)),"yyyy-mm-dd"),
    "Perlu Klarifikasi"
  )
)</f>
        <v>2024-01-01</v>
      </c>
      <c r="L4" t="str" cm="1">
        <f t="array" ref="L4">IF(
  E4&lt;&gt;"Evening",
  E4,
  IFERROR(
    INDEX($E$2:$E$301, SMALL(
      IF(
        ($B$2:$B$301=B4) * ($C$2:$C$301=C4) * ($D$2:$D$301=D4) *
        ($F$2:$F$301=F4) * ($G$2:$G$301=G4) * ($H$2:$H$301=H4) * ($I$2:$I$301=I4) *
        ($J$2:$J$301=J4) * ($K$2:$K$301=K4) * ($E$2:$E$301&lt;&gt;"Evening"),
        ROW($E$2:$E$301)-ROW($E$2)+1,
        ""
      ),
    1)),
    "Night"
  )
)</f>
        <v>Night</v>
      </c>
    </row>
    <row r="5" spans="1:12" x14ac:dyDescent="0.3">
      <c r="A5" s="25" t="s">
        <v>92</v>
      </c>
      <c r="B5" t="s">
        <v>20</v>
      </c>
      <c r="C5" t="s">
        <v>21</v>
      </c>
      <c r="D5" t="s">
        <v>31</v>
      </c>
      <c r="E5" s="22" t="s">
        <v>32</v>
      </c>
      <c r="F5" s="22">
        <f>F2</f>
        <v>713</v>
      </c>
      <c r="G5">
        <v>6438</v>
      </c>
      <c r="H5">
        <v>9.92</v>
      </c>
      <c r="I5">
        <v>1.86</v>
      </c>
      <c r="J5">
        <v>8.06</v>
      </c>
      <c r="K5" s="25" t="str" cm="1">
        <f t="array" ref="K5">IF(
  ISNUMBER(DATEVALUE(A5)),
  TEXT(DATEVALUE(A5),"yyyy-mm-dd"),
  IFERROR(
    TEXT(INDEX($A$2:$A$301,MATCH(1,
      ($B$2:$B$301=B5) * ($C$2:$C$301=C5) * ($D$2:$D$301=D5) * ($E$2:$E$301=E5) *
      ($F$2:$F$301=F5) * ($G$2:$G$301=G5) * ($H$2:$H$301=H5) * ($I$2:$I$301=I5) *
      ($J$2:$J$301=J5),0)),"yyyy-mm-dd"),
    "Perlu Klarifikasi"
  )
)</f>
        <v>2024-01-01</v>
      </c>
      <c r="L5" t="str" cm="1">
        <f t="array" ref="L5">IF(
  E5&lt;&gt;"Evening",
  E5,
  IFERROR(
    INDEX($E$2:$E$301, SMALL(
      IF(
        ($B$2:$B$301=B5) * ($C$2:$C$301=C5) * ($D$2:$D$301=D5) *
        ($F$2:$F$301=F5) * ($G$2:$G$301=G5) * ($H$2:$H$301=H5) * ($I$2:$I$301=I5) *
        ($J$2:$J$301=J5) * ($K$2:$K$301=K5) * ($E$2:$E$301&lt;&gt;"Evening"),
        ROW($E$2:$E$301)-ROW($E$2)+1,
        ""
      ),
    1)),
    "Night"
  )
)</f>
        <v>Night</v>
      </c>
    </row>
    <row r="6" spans="1:12" x14ac:dyDescent="0.3">
      <c r="A6" s="25" t="s">
        <v>92</v>
      </c>
      <c r="B6" t="s">
        <v>20</v>
      </c>
      <c r="C6" t="s">
        <v>21</v>
      </c>
      <c r="D6" t="s">
        <v>31</v>
      </c>
      <c r="E6" t="s">
        <v>23</v>
      </c>
      <c r="F6">
        <v>713</v>
      </c>
      <c r="G6">
        <v>6438</v>
      </c>
      <c r="H6">
        <v>9.92</v>
      </c>
      <c r="I6">
        <v>1.86</v>
      </c>
      <c r="J6">
        <v>8.06</v>
      </c>
      <c r="K6" s="25" t="str" cm="1">
        <f t="array" ref="K6">IF(
  ISNUMBER(DATEVALUE(A6)),
  TEXT(DATEVALUE(A6),"yyyy-mm-dd"),
  IFERROR(
    TEXT(INDEX($A$2:$A$301,MATCH(1,
      ($B$2:$B$301=B6) * ($C$2:$C$301=C6) * ($D$2:$D$301=D6) * ($E$2:$E$301=E6) *
      ($F$2:$F$301=F6) * ($G$2:$G$301=G6) * ($H$2:$H$301=H6) * ($I$2:$I$301=I6) *
      ($J$2:$J$301=J6),0)),"yyyy-mm-dd"),
    "Perlu Klarifikasi"
  )
)</f>
        <v>2024-01-01</v>
      </c>
      <c r="L6" t="str" cm="1">
        <f t="array" ref="L6">IF(
  E6&lt;&gt;"Evening",
  E6,
  IFERROR(
    INDEX($E$2:$E$301, SMALL(
      IF(
        ($B$2:$B$301=B6) * ($C$2:$C$301=C6) * ($D$2:$D$301=D6) *
        ($F$2:$F$301=F6) * ($G$2:$G$301=G6) * ($H$2:$H$301=H6) * ($I$2:$I$301=I6) *
        ($J$2:$J$301=J6) * ($K$2:$K$301=K6) * ($E$2:$E$301&lt;&gt;"Evening"),
        ROW($E$2:$E$301)-ROW($E$2)+1,
        ""
      ),
    1)),
    "Night"
  )
)</f>
        <v>Night</v>
      </c>
    </row>
    <row r="7" spans="1:12" x14ac:dyDescent="0.3">
      <c r="A7" s="25" t="s">
        <v>92</v>
      </c>
      <c r="B7" t="s">
        <v>20</v>
      </c>
      <c r="C7" t="s">
        <v>25</v>
      </c>
      <c r="D7" t="s">
        <v>31</v>
      </c>
      <c r="E7" t="s">
        <v>23</v>
      </c>
      <c r="F7">
        <v>1366</v>
      </c>
      <c r="G7">
        <v>1078</v>
      </c>
      <c r="H7">
        <v>4.4400000000000004</v>
      </c>
      <c r="I7">
        <v>0.72</v>
      </c>
      <c r="J7">
        <v>3.72</v>
      </c>
      <c r="K7" s="25" t="str" cm="1">
        <f t="array" ref="K7">IF(
  ISNUMBER(DATEVALUE(A7)),
  TEXT(DATEVALUE(A7),"yyyy-mm-dd"),
  IFERROR(
    TEXT(INDEX($A$2:$A$301,MATCH(1,
      ($B$2:$B$301=B7) * ($C$2:$C$301=C7) * ($D$2:$D$301=D7) * ($E$2:$E$301=E7) *
      ($F$2:$F$301=F7) * ($G$2:$G$301=G7) * ($H$2:$H$301=H7) * ($I$2:$I$301=I7) *
      ($J$2:$J$301=J7),0)),"yyyy-mm-dd"),
    "Perlu Klarifikasi"
  )
)</f>
        <v>2024-01-01</v>
      </c>
      <c r="L7" t="str" cm="1">
        <f t="array" ref="L7">IF(
  E7&lt;&gt;"Evening",
  E7,
  IFERROR(
    INDEX($E$2:$E$301, SMALL(
      IF(
        ($B$2:$B$301=B7) * ($C$2:$C$301=C7) * ($D$2:$D$301=D7) *
        ($F$2:$F$301=F7) * ($G$2:$G$301=G7) * ($H$2:$H$301=H7) * ($I$2:$I$301=I7) *
        ($J$2:$J$301=J7) * ($K$2:$K$301=K7) * ($E$2:$E$301&lt;&gt;"Evening"),
        ROW($E$2:$E$301)-ROW($E$2)+1,
        ""
      ),
    1)),
    "Night"
  )
)</f>
        <v>Night</v>
      </c>
    </row>
    <row r="8" spans="1:12" x14ac:dyDescent="0.3">
      <c r="A8" s="25" t="s">
        <v>92</v>
      </c>
      <c r="B8" t="s">
        <v>20</v>
      </c>
      <c r="C8" t="s">
        <v>21</v>
      </c>
      <c r="D8" t="s">
        <v>31</v>
      </c>
      <c r="E8" t="s">
        <v>23</v>
      </c>
      <c r="F8">
        <v>713</v>
      </c>
      <c r="G8">
        <v>6438</v>
      </c>
      <c r="H8">
        <v>9.92</v>
      </c>
      <c r="I8">
        <v>1.86</v>
      </c>
      <c r="J8">
        <v>8.06</v>
      </c>
      <c r="K8" s="25" t="str" cm="1">
        <f t="array" ref="K8">IF(
  ISNUMBER(DATEVALUE(A8)),
  TEXT(DATEVALUE(A8),"yyyy-mm-dd"),
  IFERROR(
    TEXT(INDEX($A$2:$A$301,MATCH(1,
      ($B$2:$B$301=B8) * ($C$2:$C$301=C8) * ($D$2:$D$301=D8) * ($E$2:$E$301=E8) *
      ($F$2:$F$301=F8) * ($G$2:$G$301=G8) * ($H$2:$H$301=H8) * ($I$2:$I$301=I8) *
      ($J$2:$J$301=J8),0)),"yyyy-mm-dd"),
    "Perlu Klarifikasi"
  )
)</f>
        <v>2024-01-01</v>
      </c>
      <c r="L8" t="str" cm="1">
        <f t="array" ref="L8">IF(
  E8&lt;&gt;"Evening",
  E8,
  IFERROR(
    INDEX($E$2:$E$301, SMALL(
      IF(
        ($B$2:$B$301=B8) * ($C$2:$C$301=C8) * ($D$2:$D$301=D8) *
        ($F$2:$F$301=F8) * ($G$2:$G$301=G8) * ($H$2:$H$301=H8) * ($I$2:$I$301=I8) *
        ($J$2:$J$301=J8) * ($K$2:$K$301=K8) * ($E$2:$E$301&lt;&gt;"Evening"),
        ROW($E$2:$E$301)-ROW($E$2)+1,
        ""
      ),
    1)),
    "Night"
  )
)</f>
        <v>Night</v>
      </c>
    </row>
    <row r="9" spans="1:12" x14ac:dyDescent="0.3">
      <c r="A9" s="25" t="s">
        <v>39</v>
      </c>
      <c r="B9" t="s">
        <v>29</v>
      </c>
      <c r="C9" t="s">
        <v>21</v>
      </c>
      <c r="D9" t="s">
        <v>22</v>
      </c>
      <c r="E9" t="s">
        <v>27</v>
      </c>
      <c r="F9">
        <v>2612</v>
      </c>
      <c r="G9">
        <v>2675</v>
      </c>
      <c r="H9">
        <v>7.16</v>
      </c>
      <c r="I9">
        <v>1.5</v>
      </c>
      <c r="J9">
        <v>5.66</v>
      </c>
      <c r="K9" s="25" t="str" cm="1">
        <f t="array" ref="K9">IF(
  ISNUMBER(DATEVALUE(A9)),
  TEXT(DATEVALUE(A9),"yyyy-mm-dd"),
  IFERROR(
    TEXT(INDEX($A$2:$A$301,MATCH(1,
      ($B$2:$B$301=B9) * ($C$2:$C$301=C9) * ($D$2:$D$301=D9) * ($E$2:$E$301=E9) *
      ($F$2:$F$301=F9) * ($G$2:$G$301=G9) * ($H$2:$H$301=H9) * ($I$2:$I$301=I9) *
      ($J$2:$J$301=J9),0)),"yyyy-mm-dd"),
    "Perlu Klarifikasi"
  )
)</f>
        <v>2024-01-02</v>
      </c>
      <c r="L9" t="str" cm="1">
        <f t="array" ref="L9">IF(
  E9&lt;&gt;"Evening",
  E9,
  IFERROR(
    INDEX($E$2:$E$301, SMALL(
      IF(
        ($B$2:$B$301=B9) * ($C$2:$C$301=C9) * ($D$2:$D$301=D9) *
        ($F$2:$F$301=F9) * ($G$2:$G$301=G9) * ($H$2:$H$301=H9) * ($I$2:$I$301=I9) *
        ($J$2:$J$301=J9) * ($K$2:$K$301=K9) * ($E$2:$E$301&lt;&gt;"Evening"),
        ROW($E$2:$E$301)-ROW($E$2)+1,
        ""
      ),
    1)),
    "Night"
  )
)</f>
        <v>Day</v>
      </c>
    </row>
    <row r="10" spans="1:12" x14ac:dyDescent="0.3">
      <c r="A10" s="25" t="s">
        <v>39</v>
      </c>
      <c r="B10" t="s">
        <v>29</v>
      </c>
      <c r="C10" t="s">
        <v>21</v>
      </c>
      <c r="D10" t="s">
        <v>22</v>
      </c>
      <c r="E10" t="s">
        <v>27</v>
      </c>
      <c r="F10">
        <v>2612</v>
      </c>
      <c r="G10">
        <v>2675</v>
      </c>
      <c r="H10">
        <v>7.16</v>
      </c>
      <c r="I10">
        <v>1.5</v>
      </c>
      <c r="J10">
        <v>5.66</v>
      </c>
      <c r="K10" s="25" t="str" cm="1">
        <f t="array" ref="K10">IF(
  ISNUMBER(DATEVALUE(A10)),
  TEXT(DATEVALUE(A10),"yyyy-mm-dd"),
  IFERROR(
    TEXT(INDEX($A$2:$A$301,MATCH(1,
      ($B$2:$B$301=B10) * ($C$2:$C$301=C10) * ($D$2:$D$301=D10) * ($E$2:$E$301=E10) *
      ($F$2:$F$301=F10) * ($G$2:$G$301=G10) * ($H$2:$H$301=H10) * ($I$2:$I$301=I10) *
      ($J$2:$J$301=J10),0)),"yyyy-mm-dd"),
    "Perlu Klarifikasi"
  )
)</f>
        <v>2024-01-02</v>
      </c>
      <c r="L10" t="str" cm="1">
        <f t="array" ref="L10">IF(
  E10&lt;&gt;"Evening",
  E10,
  IFERROR(
    INDEX($E$2:$E$301, SMALL(
      IF(
        ($B$2:$B$301=B10) * ($C$2:$C$301=C10) * ($D$2:$D$301=D10) *
        ($F$2:$F$301=F10) * ($G$2:$G$301=G10) * ($H$2:$H$301=H10) * ($I$2:$I$301=I10) *
        ($J$2:$J$301=J10) * ($K$2:$K$301=K10) * ($E$2:$E$301&lt;&gt;"Evening"),
        ROW($E$2:$E$301)-ROW($E$2)+1,
        ""
      ),
    1)),
    "Night"
  )
)</f>
        <v>Day</v>
      </c>
    </row>
    <row r="11" spans="1:12" x14ac:dyDescent="0.3">
      <c r="A11" s="25" t="s">
        <v>39</v>
      </c>
      <c r="B11" t="s">
        <v>34</v>
      </c>
      <c r="C11" t="s">
        <v>25</v>
      </c>
      <c r="D11" t="s">
        <v>22</v>
      </c>
      <c r="E11" t="s">
        <v>27</v>
      </c>
      <c r="F11">
        <v>3737</v>
      </c>
      <c r="G11">
        <v>269</v>
      </c>
      <c r="H11">
        <v>9.9499999999999993</v>
      </c>
      <c r="I11">
        <v>0.78</v>
      </c>
      <c r="J11">
        <v>9.17</v>
      </c>
      <c r="K11" s="25" t="str" cm="1">
        <f t="array" ref="K11">IF(
  ISNUMBER(DATEVALUE(A11)),
  TEXT(DATEVALUE(A11),"yyyy-mm-dd"),
  IFERROR(
    TEXT(INDEX($A$2:$A$301,MATCH(1,
      ($B$2:$B$301=B11) * ($C$2:$C$301=C11) * ($D$2:$D$301=D11) * ($E$2:$E$301=E11) *
      ($F$2:$F$301=F11) * ($G$2:$G$301=G11) * ($H$2:$H$301=H11) * ($I$2:$I$301=I11) *
      ($J$2:$J$301=J11),0)),"yyyy-mm-dd"),
    "Perlu Klarifikasi"
  )
)</f>
        <v>2024-01-02</v>
      </c>
      <c r="L11" t="str" cm="1">
        <f t="array" ref="L11">IF(
  E11&lt;&gt;"Evening",
  E11,
  IFERROR(
    INDEX($E$2:$E$301, SMALL(
      IF(
        ($B$2:$B$301=B11) * ($C$2:$C$301=C11) * ($D$2:$D$301=D11) *
        ($F$2:$F$301=F11) * ($G$2:$G$301=G11) * ($H$2:$H$301=H11) * ($I$2:$I$301=I11) *
        ($J$2:$J$301=J11) * ($K$2:$K$301=K11) * ($E$2:$E$301&lt;&gt;"Evening"),
        ROW($E$2:$E$301)-ROW($E$2)+1,
        ""
      ),
    1)),
    "Night"
  )
)</f>
        <v>Day</v>
      </c>
    </row>
    <row r="12" spans="1:12" x14ac:dyDescent="0.3">
      <c r="A12" s="26" t="s">
        <v>52</v>
      </c>
      <c r="B12" t="s">
        <v>34</v>
      </c>
      <c r="C12" t="s">
        <v>25</v>
      </c>
      <c r="D12" t="s">
        <v>22</v>
      </c>
      <c r="E12" t="s">
        <v>27</v>
      </c>
      <c r="F12">
        <v>3737</v>
      </c>
      <c r="G12">
        <v>269</v>
      </c>
      <c r="H12">
        <v>9.9499999999999993</v>
      </c>
      <c r="I12">
        <v>0.78</v>
      </c>
      <c r="J12">
        <v>9.17</v>
      </c>
      <c r="K12" s="25" t="str" cm="1">
        <f t="array" ref="K12">IF(
  ISNUMBER(DATEVALUE(A12)),
  TEXT(DATEVALUE(A12),"yyyy-mm-dd"),
  IFERROR(
    TEXT(INDEX($A$2:$A$301,MATCH(1,
      ($B$2:$B$301=B12) * ($C$2:$C$301=C12) * ($D$2:$D$301=D12) * ($E$2:$E$301=E12) *
      ($F$2:$F$301=F12) * ($G$2:$G$301=G12) * ($H$2:$H$301=H12) * ($I$2:$I$301=I12) *
      ($J$2:$J$301=J12),0)),"yyyy-mm-dd"),
    "Perlu Klarifikasi"
  )
)</f>
        <v>2024-01-02</v>
      </c>
      <c r="L12" t="str" cm="1">
        <f t="array" ref="L12">IF(
  E12&lt;&gt;"Evening",
  E12,
  IFERROR(
    INDEX($E$2:$E$301, SMALL(
      IF(
        ($B$2:$B$301=B12) * ($C$2:$C$301=C12) * ($D$2:$D$301=D12) *
        ($F$2:$F$301=F12) * ($G$2:$G$301=G12) * ($H$2:$H$301=H12) * ($I$2:$I$301=I12) *
        ($J$2:$J$301=J12) * ($K$2:$K$301=K12) * ($E$2:$E$301&lt;&gt;"Evening"),
        ROW($E$2:$E$301)-ROW($E$2)+1,
        ""
      ),
    1)),
    "Night"
  )
)</f>
        <v>Day</v>
      </c>
    </row>
    <row r="13" spans="1:12" x14ac:dyDescent="0.3">
      <c r="A13" s="25" t="s">
        <v>39</v>
      </c>
      <c r="B13" t="s">
        <v>20</v>
      </c>
      <c r="C13" t="s">
        <v>25</v>
      </c>
      <c r="D13" t="s">
        <v>22</v>
      </c>
      <c r="E13" t="s">
        <v>27</v>
      </c>
      <c r="F13">
        <v>7669</v>
      </c>
      <c r="G13">
        <v>4949</v>
      </c>
      <c r="H13">
        <v>7.54</v>
      </c>
      <c r="I13">
        <v>0.96</v>
      </c>
      <c r="J13">
        <v>6.58</v>
      </c>
      <c r="K13" s="25" t="str" cm="1">
        <f t="array" ref="K13">IF(
  ISNUMBER(DATEVALUE(A13)),
  TEXT(DATEVALUE(A13),"yyyy-mm-dd"),
  IFERROR(
    TEXT(INDEX($A$2:$A$301,MATCH(1,
      ($B$2:$B$301=B13) * ($C$2:$C$301=C13) * ($D$2:$D$301=D13) * ($E$2:$E$301=E13) *
      ($F$2:$F$301=F13) * ($G$2:$G$301=G13) * ($H$2:$H$301=H13) * ($I$2:$I$301=I13) *
      ($J$2:$J$301=J13),0)),"yyyy-mm-dd"),
    "Perlu Klarifikasi"
  )
)</f>
        <v>2024-01-02</v>
      </c>
      <c r="L13" t="str" cm="1">
        <f t="array" ref="L13">IF(
  E13&lt;&gt;"Evening",
  E13,
  IFERROR(
    INDEX($E$2:$E$301, SMALL(
      IF(
        ($B$2:$B$301=B13) * ($C$2:$C$301=C13) * ($D$2:$D$301=D13) *
        ($F$2:$F$301=F13) * ($G$2:$G$301=G13) * ($H$2:$H$301=H13) * ($I$2:$I$301=I13) *
        ($J$2:$J$301=J13) * ($K$2:$K$301=K13) * ($E$2:$E$301&lt;&gt;"Evening"),
        ROW($E$2:$E$301)-ROW($E$2)+1,
        ""
      ),
    1)),
    "Night"
  )
)</f>
        <v>Day</v>
      </c>
    </row>
    <row r="14" spans="1:12" x14ac:dyDescent="0.3">
      <c r="A14" s="25" t="s">
        <v>39</v>
      </c>
      <c r="B14" t="s">
        <v>34</v>
      </c>
      <c r="C14" t="s">
        <v>25</v>
      </c>
      <c r="D14" t="s">
        <v>22</v>
      </c>
      <c r="E14" s="22" t="s">
        <v>32</v>
      </c>
      <c r="F14">
        <v>3737</v>
      </c>
      <c r="G14">
        <v>269</v>
      </c>
      <c r="H14">
        <v>9.9499999999999993</v>
      </c>
      <c r="I14">
        <v>0.78</v>
      </c>
      <c r="J14">
        <v>9.17</v>
      </c>
      <c r="K14" s="25" t="str" cm="1">
        <f t="array" ref="K14">IF(
  ISNUMBER(DATEVALUE(A14)),
  TEXT(DATEVALUE(A14),"yyyy-mm-dd"),
  IFERROR(
    TEXT(INDEX($A$2:$A$301,MATCH(1,
      ($B$2:$B$301=B14) * ($C$2:$C$301=C14) * ($D$2:$D$301=D14) * ($E$2:$E$301=E14) *
      ($F$2:$F$301=F14) * ($G$2:$G$301=G14) * ($H$2:$H$301=H14) * ($I$2:$I$301=I14) *
      ($J$2:$J$301=J14),0)),"yyyy-mm-dd"),
    "Perlu Klarifikasi"
  )
)</f>
        <v>2024-01-02</v>
      </c>
      <c r="L14" t="str" cm="1">
        <f t="array" ref="L14">IF(
  E14&lt;&gt;"Evening",
  E14,
  IFERROR(
    INDEX($E$2:$E$301, SMALL(
      IF(
        ($B$2:$B$301=B14) * ($C$2:$C$301=C14) * ($D$2:$D$301=D14) *
        ($F$2:$F$301=F14) * ($G$2:$G$301=G14) * ($H$2:$H$301=H14) * ($I$2:$I$301=I14) *
        ($J$2:$J$301=J14) * ($K$2:$K$301=K14) * ($E$2:$E$301&lt;&gt;"Evening"),
        ROW($E$2:$E$301)-ROW($E$2)+1,
        ""
      ),
    1)),
    "Night"
  )
)</f>
        <v>Day</v>
      </c>
    </row>
    <row r="15" spans="1:12" x14ac:dyDescent="0.3">
      <c r="A15" s="26" t="s">
        <v>52</v>
      </c>
      <c r="B15" t="s">
        <v>34</v>
      </c>
      <c r="C15" t="s">
        <v>25</v>
      </c>
      <c r="D15" t="s">
        <v>22</v>
      </c>
      <c r="E15" t="s">
        <v>27</v>
      </c>
      <c r="F15">
        <v>3737</v>
      </c>
      <c r="G15">
        <v>269</v>
      </c>
      <c r="H15">
        <v>9.9499999999999993</v>
      </c>
      <c r="I15">
        <v>0.78</v>
      </c>
      <c r="J15">
        <v>9.17</v>
      </c>
      <c r="K15" s="25" t="str" cm="1">
        <f t="array" ref="K15">IF(
  ISNUMBER(DATEVALUE(A15)),
  TEXT(DATEVALUE(A15),"yyyy-mm-dd"),
  IFERROR(
    TEXT(INDEX($A$2:$A$301,MATCH(1,
      ($B$2:$B$301=B15) * ($C$2:$C$301=C15) * ($D$2:$D$301=D15) * ($E$2:$E$301=E15) *
      ($F$2:$F$301=F15) * ($G$2:$G$301=G15) * ($H$2:$H$301=H15) * ($I$2:$I$301=I15) *
      ($J$2:$J$301=J15),0)),"yyyy-mm-dd"),
    "Perlu Klarifikasi"
  )
)</f>
        <v>2024-01-02</v>
      </c>
      <c r="L15" t="str" cm="1">
        <f t="array" ref="L15">IF(
  E15&lt;&gt;"Evening",
  E15,
  IFERROR(
    INDEX($E$2:$E$301, SMALL(
      IF(
        ($B$2:$B$301=B15) * ($C$2:$C$301=C15) * ($D$2:$D$301=D15) *
        ($F$2:$F$301=F15) * ($G$2:$G$301=G15) * ($H$2:$H$301=H15) * ($I$2:$I$301=I15) *
        ($J$2:$J$301=J15) * ($K$2:$K$301=K15) * ($E$2:$E$301&lt;&gt;"Evening"),
        ROW($E$2:$E$301)-ROW($E$2)+1,
        ""
      ),
    1)),
    "Night"
  )
)</f>
        <v>Day</v>
      </c>
    </row>
    <row r="16" spans="1:12" x14ac:dyDescent="0.3">
      <c r="A16" s="25" t="s">
        <v>36</v>
      </c>
      <c r="B16" t="s">
        <v>29</v>
      </c>
      <c r="C16" t="s">
        <v>21</v>
      </c>
      <c r="D16" t="s">
        <v>26</v>
      </c>
      <c r="E16" t="s">
        <v>23</v>
      </c>
      <c r="F16">
        <v>684</v>
      </c>
      <c r="G16">
        <v>1349</v>
      </c>
      <c r="H16">
        <v>5.43</v>
      </c>
      <c r="I16">
        <v>0.27</v>
      </c>
      <c r="J16">
        <v>5.16</v>
      </c>
      <c r="K16" s="25" t="str" cm="1">
        <f t="array" ref="K16">IF(
  ISNUMBER(DATEVALUE(A16)),
  TEXT(DATEVALUE(A16),"yyyy-mm-dd"),
  IFERROR(
    TEXT(INDEX($A$2:$A$301,MATCH(1,
      ($B$2:$B$301=B16) * ($C$2:$C$301=C16) * ($D$2:$D$301=D16) * ($E$2:$E$301=E16) *
      ($F$2:$F$301=F16) * ($G$2:$G$301=G16) * ($H$2:$H$301=H16) * ($I$2:$I$301=I16) *
      ($J$2:$J$301=J16),0)),"yyyy-mm-dd"),
    "Perlu Klarifikasi"
  )
)</f>
        <v>2024-01-03</v>
      </c>
      <c r="L16" t="str" cm="1">
        <f t="array" ref="L16">IF(
  E16&lt;&gt;"Evening",
  E16,
  IFERROR(
    INDEX($E$2:$E$301, SMALL(
      IF(
        ($B$2:$B$301=B16) * ($C$2:$C$301=C16) * ($D$2:$D$301=D16) *
        ($F$2:$F$301=F16) * ($G$2:$G$301=G16) * ($H$2:$H$301=H16) * ($I$2:$I$301=I16) *
        ($J$2:$J$301=J16) * ($K$2:$K$301=K16) * ($E$2:$E$301&lt;&gt;"Evening"),
        ROW($E$2:$E$301)-ROW($E$2)+1,
        ""
      ),
    1)),
    "Night"
  )
)</f>
        <v>Night</v>
      </c>
    </row>
    <row r="17" spans="1:12" x14ac:dyDescent="0.3">
      <c r="A17" s="25" t="s">
        <v>36</v>
      </c>
      <c r="B17" t="s">
        <v>29</v>
      </c>
      <c r="C17" t="s">
        <v>25</v>
      </c>
      <c r="D17" t="s">
        <v>26</v>
      </c>
      <c r="E17" t="s">
        <v>27</v>
      </c>
      <c r="F17">
        <v>8978</v>
      </c>
      <c r="G17">
        <v>3637</v>
      </c>
      <c r="H17">
        <v>4.71</v>
      </c>
      <c r="I17">
        <v>0.08</v>
      </c>
      <c r="J17">
        <v>4.63</v>
      </c>
      <c r="K17" s="25" t="str" cm="1">
        <f t="array" ref="K17">IF(
  ISNUMBER(DATEVALUE(A17)),
  TEXT(DATEVALUE(A17),"yyyy-mm-dd"),
  IFERROR(
    TEXT(INDEX($A$2:$A$301,MATCH(1,
      ($B$2:$B$301=B17) * ($C$2:$C$301=C17) * ($D$2:$D$301=D17) * ($E$2:$E$301=E17) *
      ($F$2:$F$301=F17) * ($G$2:$G$301=G17) * ($H$2:$H$301=H17) * ($I$2:$I$301=I17) *
      ($J$2:$J$301=J17),0)),"yyyy-mm-dd"),
    "Perlu Klarifikasi"
  )
)</f>
        <v>2024-01-03</v>
      </c>
      <c r="L17" t="str" cm="1">
        <f t="array" ref="L17">IF(
  E17&lt;&gt;"Evening",
  E17,
  IFERROR(
    INDEX($E$2:$E$301, SMALL(
      IF(
        ($B$2:$B$301=B17) * ($C$2:$C$301=C17) * ($D$2:$D$301=D17) *
        ($F$2:$F$301=F17) * ($G$2:$G$301=G17) * ($H$2:$H$301=H17) * ($I$2:$I$301=I17) *
        ($J$2:$J$301=J17) * ($K$2:$K$301=K17) * ($E$2:$E$301&lt;&gt;"Evening"),
        ROW($E$2:$E$301)-ROW($E$2)+1,
        ""
      ),
    1)),
    "Night"
  )
)</f>
        <v>Day</v>
      </c>
    </row>
    <row r="18" spans="1:12" x14ac:dyDescent="0.3">
      <c r="A18" s="25" t="s">
        <v>36</v>
      </c>
      <c r="B18" t="s">
        <v>29</v>
      </c>
      <c r="C18" t="s">
        <v>21</v>
      </c>
      <c r="D18" t="s">
        <v>31</v>
      </c>
      <c r="E18" s="22" t="s">
        <v>32</v>
      </c>
      <c r="F18">
        <v>3336</v>
      </c>
      <c r="G18">
        <v>2526</v>
      </c>
      <c r="H18">
        <v>6.14</v>
      </c>
      <c r="I18">
        <v>0.63</v>
      </c>
      <c r="J18">
        <v>5.51</v>
      </c>
      <c r="K18" s="25" t="str" cm="1">
        <f t="array" ref="K18">IF(
  ISNUMBER(DATEVALUE(A18)),
  TEXT(DATEVALUE(A18),"yyyy-mm-dd"),
  IFERROR(
    TEXT(INDEX($A$2:$A$301,MATCH(1,
      ($B$2:$B$301=B18) * ($C$2:$C$301=C18) * ($D$2:$D$301=D18) * ($E$2:$E$301=E18) *
      ($F$2:$F$301=F18) * ($G$2:$G$301=G18) * ($H$2:$H$301=H18) * ($I$2:$I$301=I18) *
      ($J$2:$J$301=J18),0)),"yyyy-mm-dd"),
    "Perlu Klarifikasi"
  )
)</f>
        <v>2024-01-03</v>
      </c>
      <c r="L18" t="str" cm="1">
        <f t="array" ref="L18">IF(
  E18&lt;&gt;"Evening",
  E18,
  IFERROR(
    INDEX($E$2:$E$301, SMALL(
      IF(
        ($B$2:$B$301=B18) * ($C$2:$C$301=C18) * ($D$2:$D$301=D18) *
        ($F$2:$F$301=F18) * ($G$2:$G$301=G18) * ($H$2:$H$301=H18) * ($I$2:$I$301=I18) *
        ($J$2:$J$301=J18) * ($K$2:$K$301=K18) * ($E$2:$E$301&lt;&gt;"Evening"),
        ROW($E$2:$E$301)-ROW($E$2)+1,
        ""
      ),
    1)),
    "Night"
  )
)</f>
        <v>Day</v>
      </c>
    </row>
    <row r="19" spans="1:12" x14ac:dyDescent="0.3">
      <c r="A19" s="25" t="s">
        <v>36</v>
      </c>
      <c r="B19" t="s">
        <v>29</v>
      </c>
      <c r="C19" t="s">
        <v>25</v>
      </c>
      <c r="D19" t="s">
        <v>26</v>
      </c>
      <c r="E19" t="s">
        <v>27</v>
      </c>
      <c r="F19">
        <v>8978</v>
      </c>
      <c r="G19">
        <v>3637</v>
      </c>
      <c r="H19">
        <v>4.71</v>
      </c>
      <c r="I19">
        <v>0.08</v>
      </c>
      <c r="J19">
        <v>4.63</v>
      </c>
      <c r="K19" s="25" t="str" cm="1">
        <f t="array" ref="K19">IF(
  ISNUMBER(DATEVALUE(A19)),
  TEXT(DATEVALUE(A19),"yyyy-mm-dd"),
  IFERROR(
    TEXT(INDEX($A$2:$A$301,MATCH(1,
      ($B$2:$B$301=B19) * ($C$2:$C$301=C19) * ($D$2:$D$301=D19) * ($E$2:$E$301=E19) *
      ($F$2:$F$301=F19) * ($G$2:$G$301=G19) * ($H$2:$H$301=H19) * ($I$2:$I$301=I19) *
      ($J$2:$J$301=J19),0)),"yyyy-mm-dd"),
    "Perlu Klarifikasi"
  )
)</f>
        <v>2024-01-03</v>
      </c>
      <c r="L19" t="str" cm="1">
        <f t="array" ref="L19">IF(
  E19&lt;&gt;"Evening",
  E19,
  IFERROR(
    INDEX($E$2:$E$301, SMALL(
      IF(
        ($B$2:$B$301=B19) * ($C$2:$C$301=C19) * ($D$2:$D$301=D19) *
        ($F$2:$F$301=F19) * ($G$2:$G$301=G19) * ($H$2:$H$301=H19) * ($I$2:$I$301=I19) *
        ($J$2:$J$301=J19) * ($K$2:$K$301=K19) * ($E$2:$E$301&lt;&gt;"Evening"),
        ROW($E$2:$E$301)-ROW($E$2)+1,
        ""
      ),
    1)),
    "Night"
  )
)</f>
        <v>Day</v>
      </c>
    </row>
    <row r="20" spans="1:12" x14ac:dyDescent="0.3">
      <c r="A20" s="25" t="s">
        <v>36</v>
      </c>
      <c r="B20" t="s">
        <v>29</v>
      </c>
      <c r="C20" t="s">
        <v>21</v>
      </c>
      <c r="D20" t="s">
        <v>31</v>
      </c>
      <c r="E20" t="s">
        <v>27</v>
      </c>
      <c r="F20">
        <v>3336</v>
      </c>
      <c r="G20">
        <v>2526</v>
      </c>
      <c r="H20">
        <v>6.14</v>
      </c>
      <c r="I20">
        <v>0.63</v>
      </c>
      <c r="J20">
        <v>5.51</v>
      </c>
      <c r="K20" s="25" t="str" cm="1">
        <f t="array" ref="K20">IF(
  ISNUMBER(DATEVALUE(A20)),
  TEXT(DATEVALUE(A20),"yyyy-mm-dd"),
  IFERROR(
    TEXT(INDEX($A$2:$A$301,MATCH(1,
      ($B$2:$B$301=B20) * ($C$2:$C$301=C20) * ($D$2:$D$301=D20) * ($E$2:$E$301=E20) *
      ($F$2:$F$301=F20) * ($G$2:$G$301=G20) * ($H$2:$H$301=H20) * ($I$2:$I$301=I20) *
      ($J$2:$J$301=J20),0)),"yyyy-mm-dd"),
    "Perlu Klarifikasi"
  )
)</f>
        <v>2024-01-03</v>
      </c>
      <c r="L20" t="str" cm="1">
        <f t="array" ref="L20">IF(
  E20&lt;&gt;"Evening",
  E20,
  IFERROR(
    INDEX($E$2:$E$301, SMALL(
      IF(
        ($B$2:$B$301=B20) * ($C$2:$C$301=C20) * ($D$2:$D$301=D20) *
        ($F$2:$F$301=F20) * ($G$2:$G$301=G20) * ($H$2:$H$301=H20) * ($I$2:$I$301=I20) *
        ($J$2:$J$301=J20) * ($K$2:$K$301=K20) * ($E$2:$E$301&lt;&gt;"Evening"),
        ROW($E$2:$E$301)-ROW($E$2)+1,
        ""
      ),
    1)),
    "Night"
  )
)</f>
        <v>Day</v>
      </c>
    </row>
    <row r="21" spans="1:12" x14ac:dyDescent="0.3">
      <c r="A21" s="25" t="s">
        <v>36</v>
      </c>
      <c r="B21" t="s">
        <v>29</v>
      </c>
      <c r="C21" t="s">
        <v>21</v>
      </c>
      <c r="D21" t="s">
        <v>26</v>
      </c>
      <c r="E21" t="s">
        <v>23</v>
      </c>
      <c r="F21">
        <v>684</v>
      </c>
      <c r="G21">
        <v>1349</v>
      </c>
      <c r="H21">
        <v>5.43</v>
      </c>
      <c r="I21">
        <v>0.27</v>
      </c>
      <c r="J21">
        <v>5.16</v>
      </c>
      <c r="K21" s="25" t="str" cm="1">
        <f t="array" ref="K21">IF(
  ISNUMBER(DATEVALUE(A21)),
  TEXT(DATEVALUE(A21),"yyyy-mm-dd"),
  IFERROR(
    TEXT(INDEX($A$2:$A$301,MATCH(1,
      ($B$2:$B$301=B21) * ($C$2:$C$301=C21) * ($D$2:$D$301=D21) * ($E$2:$E$301=E21) *
      ($F$2:$F$301=F21) * ($G$2:$G$301=G21) * ($H$2:$H$301=H21) * ($I$2:$I$301=I21) *
      ($J$2:$J$301=J21),0)),"yyyy-mm-dd"),
    "Perlu Klarifikasi"
  )
)</f>
        <v>2024-01-03</v>
      </c>
      <c r="L21" t="str" cm="1">
        <f t="array" ref="L21">IF(
  E21&lt;&gt;"Evening",
  E21,
  IFERROR(
    INDEX($E$2:$E$301, SMALL(
      IF(
        ($B$2:$B$301=B21) * ($C$2:$C$301=C21) * ($D$2:$D$301=D21) *
        ($F$2:$F$301=F21) * ($G$2:$G$301=G21) * ($H$2:$H$301=H21) * ($I$2:$I$301=I21) *
        ($J$2:$J$301=J21) * ($K$2:$K$301=K21) * ($E$2:$E$301&lt;&gt;"Evening"),
        ROW($E$2:$E$301)-ROW($E$2)+1,
        ""
      ),
    1)),
    "Night"
  )
)</f>
        <v>Night</v>
      </c>
    </row>
    <row r="22" spans="1:12" x14ac:dyDescent="0.3">
      <c r="A22" s="25" t="s">
        <v>36</v>
      </c>
      <c r="B22" t="s">
        <v>29</v>
      </c>
      <c r="C22" t="s">
        <v>25</v>
      </c>
      <c r="D22" t="s">
        <v>26</v>
      </c>
      <c r="E22" t="s">
        <v>27</v>
      </c>
      <c r="F22">
        <v>8978</v>
      </c>
      <c r="G22">
        <v>3637</v>
      </c>
      <c r="H22">
        <v>4.71</v>
      </c>
      <c r="I22">
        <v>0.08</v>
      </c>
      <c r="J22">
        <v>4.63</v>
      </c>
      <c r="K22" s="25" t="str" cm="1">
        <f t="array" ref="K22">IF(
  ISNUMBER(DATEVALUE(A22)),
  TEXT(DATEVALUE(A22),"yyyy-mm-dd"),
  IFERROR(
    TEXT(INDEX($A$2:$A$301,MATCH(1,
      ($B$2:$B$301=B22) * ($C$2:$C$301=C22) * ($D$2:$D$301=D22) * ($E$2:$E$301=E22) *
      ($F$2:$F$301=F22) * ($G$2:$G$301=G22) * ($H$2:$H$301=H22) * ($I$2:$I$301=I22) *
      ($J$2:$J$301=J22),0)),"yyyy-mm-dd"),
    "Perlu Klarifikasi"
  )
)</f>
        <v>2024-01-03</v>
      </c>
      <c r="L22" t="str" cm="1">
        <f t="array" ref="L22">IF(
  E22&lt;&gt;"Evening",
  E22,
  IFERROR(
    INDEX($E$2:$E$301, SMALL(
      IF(
        ($B$2:$B$301=B22) * ($C$2:$C$301=C22) * ($D$2:$D$301=D22) *
        ($F$2:$F$301=F22) * ($G$2:$G$301=G22) * ($H$2:$H$301=H22) * ($I$2:$I$301=I22) *
        ($J$2:$J$301=J22) * ($K$2:$K$301=K22) * ($E$2:$E$301&lt;&gt;"Evening"),
        ROW($E$2:$E$301)-ROW($E$2)+1,
        ""
      ),
    1)),
    "Night"
  )
)</f>
        <v>Day</v>
      </c>
    </row>
    <row r="23" spans="1:12" x14ac:dyDescent="0.3">
      <c r="A23" s="25" t="s">
        <v>36</v>
      </c>
      <c r="B23" t="s">
        <v>29</v>
      </c>
      <c r="C23" t="s">
        <v>21</v>
      </c>
      <c r="D23" t="s">
        <v>31</v>
      </c>
      <c r="E23" t="s">
        <v>27</v>
      </c>
      <c r="F23">
        <v>3336</v>
      </c>
      <c r="G23">
        <v>2526</v>
      </c>
      <c r="H23">
        <v>6.14</v>
      </c>
      <c r="I23">
        <v>0.63</v>
      </c>
      <c r="J23">
        <v>5.51</v>
      </c>
      <c r="K23" s="25" t="str" cm="1">
        <f t="array" ref="K23">IF(
  ISNUMBER(DATEVALUE(A23)),
  TEXT(DATEVALUE(A23),"yyyy-mm-dd"),
  IFERROR(
    TEXT(INDEX($A$2:$A$301,MATCH(1,
      ($B$2:$B$301=B23) * ($C$2:$C$301=C23) * ($D$2:$D$301=D23) * ($E$2:$E$301=E23) *
      ($F$2:$F$301=F23) * ($G$2:$G$301=G23) * ($H$2:$H$301=H23) * ($I$2:$I$301=I23) *
      ($J$2:$J$301=J23),0)),"yyyy-mm-dd"),
    "Perlu Klarifikasi"
  )
)</f>
        <v>2024-01-03</v>
      </c>
      <c r="L23" t="str" cm="1">
        <f t="array" ref="L23">IF(
  E23&lt;&gt;"Evening",
  E23,
  IFERROR(
    INDEX($E$2:$E$301, SMALL(
      IF(
        ($B$2:$B$301=B23) * ($C$2:$C$301=C23) * ($D$2:$D$301=D23) *
        ($F$2:$F$301=F23) * ($G$2:$G$301=G23) * ($H$2:$H$301=H23) * ($I$2:$I$301=I23) *
        ($J$2:$J$301=J23) * ($K$2:$K$301=K23) * ($E$2:$E$301&lt;&gt;"Evening"),
        ROW($E$2:$E$301)-ROW($E$2)+1,
        ""
      ),
    1)),
    "Night"
  )
)</f>
        <v>Day</v>
      </c>
    </row>
    <row r="24" spans="1:12" x14ac:dyDescent="0.3">
      <c r="A24" s="25" t="s">
        <v>36</v>
      </c>
      <c r="B24" t="s">
        <v>29</v>
      </c>
      <c r="C24" t="s">
        <v>21</v>
      </c>
      <c r="D24" t="s">
        <v>26</v>
      </c>
      <c r="E24" t="s">
        <v>23</v>
      </c>
      <c r="F24">
        <v>684</v>
      </c>
      <c r="G24">
        <v>1349</v>
      </c>
      <c r="H24">
        <v>5.43</v>
      </c>
      <c r="I24">
        <v>0.27</v>
      </c>
      <c r="J24">
        <v>5.16</v>
      </c>
      <c r="K24" s="25" t="str" cm="1">
        <f t="array" ref="K24">IF(
  ISNUMBER(DATEVALUE(A24)),
  TEXT(DATEVALUE(A24),"yyyy-mm-dd"),
  IFERROR(
    TEXT(INDEX($A$2:$A$301,MATCH(1,
      ($B$2:$B$301=B24) * ($C$2:$C$301=C24) * ($D$2:$D$301=D24) * ($E$2:$E$301=E24) *
      ($F$2:$F$301=F24) * ($G$2:$G$301=G24) * ($H$2:$H$301=H24) * ($I$2:$I$301=I24) *
      ($J$2:$J$301=J24),0)),"yyyy-mm-dd"),
    "Perlu Klarifikasi"
  )
)</f>
        <v>2024-01-03</v>
      </c>
      <c r="L24" t="str" cm="1">
        <f t="array" ref="L24">IF(
  E24&lt;&gt;"Evening",
  E24,
  IFERROR(
    INDEX($E$2:$E$301, SMALL(
      IF(
        ($B$2:$B$301=B24) * ($C$2:$C$301=C24) * ($D$2:$D$301=D24) *
        ($F$2:$F$301=F24) * ($G$2:$G$301=G24) * ($H$2:$H$301=H24) * ($I$2:$I$301=I24) *
        ($J$2:$J$301=J24) * ($K$2:$K$301=K24) * ($E$2:$E$301&lt;&gt;"Evening"),
        ROW($E$2:$E$301)-ROW($E$2)+1,
        ""
      ),
    1)),
    "Night"
  )
)</f>
        <v>Night</v>
      </c>
    </row>
    <row r="25" spans="1:12" x14ac:dyDescent="0.3">
      <c r="A25" s="25" t="s">
        <v>36</v>
      </c>
      <c r="B25" t="s">
        <v>29</v>
      </c>
      <c r="C25" t="s">
        <v>21</v>
      </c>
      <c r="D25" t="s">
        <v>26</v>
      </c>
      <c r="E25" t="s">
        <v>23</v>
      </c>
      <c r="F25">
        <v>684</v>
      </c>
      <c r="G25">
        <v>1349</v>
      </c>
      <c r="H25">
        <v>5.43</v>
      </c>
      <c r="I25">
        <v>0.27</v>
      </c>
      <c r="J25">
        <v>5.16</v>
      </c>
      <c r="K25" s="25" t="str" cm="1">
        <f t="array" ref="K25">IF(
  ISNUMBER(DATEVALUE(A25)),
  TEXT(DATEVALUE(A25),"yyyy-mm-dd"),
  IFERROR(
    TEXT(INDEX($A$2:$A$301,MATCH(1,
      ($B$2:$B$301=B25) * ($C$2:$C$301=C25) * ($D$2:$D$301=D25) * ($E$2:$E$301=E25) *
      ($F$2:$F$301=F25) * ($G$2:$G$301=G25) * ($H$2:$H$301=H25) * ($I$2:$I$301=I25) *
      ($J$2:$J$301=J25),0)),"yyyy-mm-dd"),
    "Perlu Klarifikasi"
  )
)</f>
        <v>2024-01-03</v>
      </c>
      <c r="L25" t="str" cm="1">
        <f t="array" ref="L25">IF(
  E25&lt;&gt;"Evening",
  E25,
  IFERROR(
    INDEX($E$2:$E$301, SMALL(
      IF(
        ($B$2:$B$301=B25) * ($C$2:$C$301=C25) * ($D$2:$D$301=D25) *
        ($F$2:$F$301=F25) * ($G$2:$G$301=G25) * ($H$2:$H$301=H25) * ($I$2:$I$301=I25) *
        ($J$2:$J$301=J25) * ($K$2:$K$301=K25) * ($E$2:$E$301&lt;&gt;"Evening"),
        ROW($E$2:$E$301)-ROW($E$2)+1,
        ""
      ),
    1)),
    "Night"
  )
)</f>
        <v>Night</v>
      </c>
    </row>
    <row r="26" spans="1:12" x14ac:dyDescent="0.3">
      <c r="A26" s="25" t="s">
        <v>36</v>
      </c>
      <c r="B26" t="s">
        <v>29</v>
      </c>
      <c r="C26" t="s">
        <v>25</v>
      </c>
      <c r="D26" t="s">
        <v>26</v>
      </c>
      <c r="E26" t="s">
        <v>27</v>
      </c>
      <c r="F26">
        <v>8978</v>
      </c>
      <c r="G26">
        <v>3637</v>
      </c>
      <c r="H26">
        <v>4.71</v>
      </c>
      <c r="I26">
        <v>0.08</v>
      </c>
      <c r="J26">
        <v>4.63</v>
      </c>
      <c r="K26" s="25" t="str" cm="1">
        <f t="array" ref="K26">IF(
  ISNUMBER(DATEVALUE(A26)),
  TEXT(DATEVALUE(A26),"yyyy-mm-dd"),
  IFERROR(
    TEXT(INDEX($A$2:$A$301,MATCH(1,
      ($B$2:$B$301=B26) * ($C$2:$C$301=C26) * ($D$2:$D$301=D26) * ($E$2:$E$301=E26) *
      ($F$2:$F$301=F26) * ($G$2:$G$301=G26) * ($H$2:$H$301=H26) * ($I$2:$I$301=I26) *
      ($J$2:$J$301=J26),0)),"yyyy-mm-dd"),
    "Perlu Klarifikasi"
  )
)</f>
        <v>2024-01-03</v>
      </c>
      <c r="L26" t="str" cm="1">
        <f t="array" ref="L26">IF(
  E26&lt;&gt;"Evening",
  E26,
  IFERROR(
    INDEX($E$2:$E$301, SMALL(
      IF(
        ($B$2:$B$301=B26) * ($C$2:$C$301=C26) * ($D$2:$D$301=D26) *
        ($F$2:$F$301=F26) * ($G$2:$G$301=G26) * ($H$2:$H$301=H26) * ($I$2:$I$301=I26) *
        ($J$2:$J$301=J26) * ($K$2:$K$301=K26) * ($E$2:$E$301&lt;&gt;"Evening"),
        ROW($E$2:$E$301)-ROW($E$2)+1,
        ""
      ),
    1)),
    "Night"
  )
)</f>
        <v>Day</v>
      </c>
    </row>
    <row r="27" spans="1:12" x14ac:dyDescent="0.3">
      <c r="A27" s="25" t="s">
        <v>36</v>
      </c>
      <c r="B27" t="s">
        <v>29</v>
      </c>
      <c r="C27" t="s">
        <v>25</v>
      </c>
      <c r="D27" t="s">
        <v>26</v>
      </c>
      <c r="E27" t="s">
        <v>27</v>
      </c>
      <c r="F27">
        <v>8978</v>
      </c>
      <c r="G27" s="22">
        <f>G26</f>
        <v>3637</v>
      </c>
      <c r="H27">
        <v>4.71</v>
      </c>
      <c r="I27">
        <v>0.08</v>
      </c>
      <c r="J27">
        <v>4.63</v>
      </c>
      <c r="K27" s="25" t="str" cm="1">
        <f t="array" ref="K27">IF(
  ISNUMBER(DATEVALUE(A27)),
  TEXT(DATEVALUE(A27),"yyyy-mm-dd"),
  IFERROR(
    TEXT(INDEX($A$2:$A$301,MATCH(1,
      ($B$2:$B$301=B27) * ($C$2:$C$301=C27) * ($D$2:$D$301=D27) * ($E$2:$E$301=E27) *
      ($F$2:$F$301=F27) * ($G$2:$G$301=G27) * ($H$2:$H$301=H27) * ($I$2:$I$301=I27) *
      ($J$2:$J$301=J27),0)),"yyyy-mm-dd"),
    "Perlu Klarifikasi"
  )
)</f>
        <v>2024-01-03</v>
      </c>
      <c r="L27" t="str" cm="1">
        <f t="array" ref="L27">IF(
  E27&lt;&gt;"Evening",
  E27,
  IFERROR(
    INDEX($E$2:$E$301, SMALL(
      IF(
        ($B$2:$B$301=B27) * ($C$2:$C$301=C27) * ($D$2:$D$301=D27) *
        ($F$2:$F$301=F27) * ($G$2:$G$301=G27) * ($H$2:$H$301=H27) * ($I$2:$I$301=I27) *
        ($J$2:$J$301=J27) * ($K$2:$K$301=K27) * ($E$2:$E$301&lt;&gt;"Evening"),
        ROW($E$2:$E$301)-ROW($E$2)+1,
        ""
      ),
    1)),
    "Night"
  )
)</f>
        <v>Day</v>
      </c>
    </row>
    <row r="28" spans="1:12" x14ac:dyDescent="0.3">
      <c r="A28" s="25" t="s">
        <v>36</v>
      </c>
      <c r="B28" t="s">
        <v>29</v>
      </c>
      <c r="C28" t="s">
        <v>25</v>
      </c>
      <c r="D28" t="s">
        <v>26</v>
      </c>
      <c r="E28" t="s">
        <v>23</v>
      </c>
      <c r="F28">
        <v>2604</v>
      </c>
      <c r="G28">
        <v>1318</v>
      </c>
      <c r="H28">
        <v>6.25</v>
      </c>
      <c r="I28">
        <v>1.1399999999999999</v>
      </c>
      <c r="J28">
        <v>5.1100000000000003</v>
      </c>
      <c r="K28" s="25" t="str" cm="1">
        <f t="array" ref="K28">IF(
  ISNUMBER(DATEVALUE(A28)),
  TEXT(DATEVALUE(A28),"yyyy-mm-dd"),
  IFERROR(
    TEXT(INDEX($A$2:$A$301,MATCH(1,
      ($B$2:$B$301=B28) * ($C$2:$C$301=C28) * ($D$2:$D$301=D28) * ($E$2:$E$301=E28) *
      ($F$2:$F$301=F28) * ($G$2:$G$301=G28) * ($H$2:$H$301=H28) * ($I$2:$I$301=I28) *
      ($J$2:$J$301=J28),0)),"yyyy-mm-dd"),
    "Perlu Klarifikasi"
  )
)</f>
        <v>2024-01-03</v>
      </c>
      <c r="L28" t="str" cm="1">
        <f t="array" ref="L28">IF(
  E28&lt;&gt;"Evening",
  E28,
  IFERROR(
    INDEX($E$2:$E$301, SMALL(
      IF(
        ($B$2:$B$301=B28) * ($C$2:$C$301=C28) * ($D$2:$D$301=D28) *
        ($F$2:$F$301=F28) * ($G$2:$G$301=G28) * ($H$2:$H$301=H28) * ($I$2:$I$301=I28) *
        ($J$2:$J$301=J28) * ($K$2:$K$301=K28) * ($E$2:$E$301&lt;&gt;"Evening"),
        ROW($E$2:$E$301)-ROW($E$2)+1,
        ""
      ),
    1)),
    "Night"
  )
)</f>
        <v>Night</v>
      </c>
    </row>
    <row r="29" spans="1:12" x14ac:dyDescent="0.3">
      <c r="A29" s="25" t="s">
        <v>36</v>
      </c>
      <c r="B29" t="s">
        <v>34</v>
      </c>
      <c r="C29" t="s">
        <v>25</v>
      </c>
      <c r="D29" t="s">
        <v>22</v>
      </c>
      <c r="E29" t="s">
        <v>23</v>
      </c>
      <c r="F29">
        <v>3710</v>
      </c>
      <c r="G29">
        <v>3388</v>
      </c>
      <c r="H29">
        <v>8.73</v>
      </c>
      <c r="I29">
        <v>1.18</v>
      </c>
      <c r="J29">
        <v>7.55</v>
      </c>
      <c r="K29" s="25" t="str" cm="1">
        <f t="array" ref="K29">IF(
  ISNUMBER(DATEVALUE(A29)),
  TEXT(DATEVALUE(A29),"yyyy-mm-dd"),
  IFERROR(
    TEXT(INDEX($A$2:$A$301,MATCH(1,
      ($B$2:$B$301=B29) * ($C$2:$C$301=C29) * ($D$2:$D$301=D29) * ($E$2:$E$301=E29) *
      ($F$2:$F$301=F29) * ($G$2:$G$301=G29) * ($H$2:$H$301=H29) * ($I$2:$I$301=I29) *
      ($J$2:$J$301=J29),0)),"yyyy-mm-dd"),
    "Perlu Klarifikasi"
  )
)</f>
        <v>2024-01-03</v>
      </c>
      <c r="L29" t="str" cm="1">
        <f t="array" ref="L29">IF(
  E29&lt;&gt;"Evening",
  E29,
  IFERROR(
    INDEX($E$2:$E$301, SMALL(
      IF(
        ($B$2:$B$301=B29) * ($C$2:$C$301=C29) * ($D$2:$D$301=D29) *
        ($F$2:$F$301=F29) * ($G$2:$G$301=G29) * ($H$2:$H$301=H29) * ($I$2:$I$301=I29) *
        ($J$2:$J$301=J29) * ($K$2:$K$301=K29) * ($E$2:$E$301&lt;&gt;"Evening"),
        ROW($E$2:$E$301)-ROW($E$2)+1,
        ""
      ),
    1)),
    "Night"
  )
)</f>
        <v>Night</v>
      </c>
    </row>
    <row r="30" spans="1:12" x14ac:dyDescent="0.3">
      <c r="A30" s="25" t="s">
        <v>54</v>
      </c>
      <c r="B30" t="s">
        <v>20</v>
      </c>
      <c r="C30" t="s">
        <v>30</v>
      </c>
      <c r="D30" t="s">
        <v>26</v>
      </c>
      <c r="E30" s="22" t="s">
        <v>32</v>
      </c>
      <c r="F30">
        <v>5683</v>
      </c>
      <c r="G30">
        <v>5055</v>
      </c>
      <c r="H30">
        <v>4.59</v>
      </c>
      <c r="I30">
        <v>0.17</v>
      </c>
      <c r="J30">
        <v>4.42</v>
      </c>
      <c r="K30" s="25" t="str" cm="1">
        <f t="array" ref="K30">IF(
  ISNUMBER(DATEVALUE(A30)),
  TEXT(DATEVALUE(A30),"yyyy-mm-dd"),
  IFERROR(
    TEXT(INDEX($A$2:$A$301,MATCH(1,
      ($B$2:$B$301=B30) * ($C$2:$C$301=C30) * ($D$2:$D$301=D30) * ($E$2:$E$301=E30) *
      ($F$2:$F$301=F30) * ($G$2:$G$301=G30) * ($H$2:$H$301=H30) * ($I$2:$I$301=I30) *
      ($J$2:$J$301=J30),0)),"yyyy-mm-dd"),
    "Perlu Klarifikasi"
  )
)</f>
        <v>2024-01-04</v>
      </c>
      <c r="L30" t="str" cm="1">
        <f t="array" ref="L30">IF(
  E30&lt;&gt;"Evening",
  E30,
  IFERROR(
    INDEX($E$2:$E$301, SMALL(
      IF(
        ($B$2:$B$301=B30) * ($C$2:$C$301=C30) * ($D$2:$D$301=D30) *
        ($F$2:$F$301=F30) * ($G$2:$G$301=G30) * ($H$2:$H$301=H30) * ($I$2:$I$301=I30) *
        ($J$2:$J$301=J30) * ($K$2:$K$301=K30) * ($E$2:$E$301&lt;&gt;"Evening"),
        ROW($E$2:$E$301)-ROW($E$2)+1,
        ""
      ),
    1)),
    "Night"
  )
)</f>
        <v>Night</v>
      </c>
    </row>
    <row r="31" spans="1:12" x14ac:dyDescent="0.3">
      <c r="A31" s="25" t="s">
        <v>96</v>
      </c>
      <c r="B31" t="s">
        <v>34</v>
      </c>
      <c r="C31" t="s">
        <v>21</v>
      </c>
      <c r="D31" t="s">
        <v>22</v>
      </c>
      <c r="E31" t="s">
        <v>23</v>
      </c>
      <c r="F31">
        <v>4512</v>
      </c>
      <c r="G31">
        <v>1543</v>
      </c>
      <c r="H31">
        <v>5.16</v>
      </c>
      <c r="I31">
        <v>0.03</v>
      </c>
      <c r="J31">
        <v>5.13</v>
      </c>
      <c r="K31" s="25" t="str" cm="1">
        <f t="array" ref="K31">IF(
  ISNUMBER(DATEVALUE(A31)),
  TEXT(DATEVALUE(A31),"yyyy-mm-dd"),
  IFERROR(
    TEXT(INDEX($A$2:$A$301,MATCH(1,
      ($B$2:$B$301=B31) * ($C$2:$C$301=C31) * ($D$2:$D$301=D31) * ($E$2:$E$301=E31) *
      ($F$2:$F$301=F31) * ($G$2:$G$301=G31) * ($H$2:$H$301=H31) * ($I$2:$I$301=I31) *
      ($J$2:$J$301=J31),0)),"yyyy-mm-dd"),
    "Perlu Klarifikasi"
  )
)</f>
        <v>2024-01-05</v>
      </c>
      <c r="L31" t="str" cm="1">
        <f t="array" ref="L31">IF(
  E31&lt;&gt;"Evening",
  E31,
  IFERROR(
    INDEX($E$2:$E$301, SMALL(
      IF(
        ($B$2:$B$301=B31) * ($C$2:$C$301=C31) * ($D$2:$D$301=D31) *
        ($F$2:$F$301=F31) * ($G$2:$G$301=G31) * ($H$2:$H$301=H31) * ($I$2:$I$301=I31) *
        ($J$2:$J$301=J31) * ($K$2:$K$301=K31) * ($E$2:$E$301&lt;&gt;"Evening"),
        ROW($E$2:$E$301)-ROW($E$2)+1,
        ""
      ),
    1)),
    "Night"
  )
)</f>
        <v>Night</v>
      </c>
    </row>
    <row r="32" spans="1:12" x14ac:dyDescent="0.3">
      <c r="A32" s="25" t="s">
        <v>24</v>
      </c>
      <c r="B32" t="s">
        <v>20</v>
      </c>
      <c r="C32" t="s">
        <v>25</v>
      </c>
      <c r="D32" t="s">
        <v>26</v>
      </c>
      <c r="E32" t="s">
        <v>27</v>
      </c>
      <c r="F32">
        <v>8608</v>
      </c>
      <c r="G32">
        <v>1381</v>
      </c>
      <c r="H32">
        <v>5.24</v>
      </c>
      <c r="I32">
        <v>0.17</v>
      </c>
      <c r="J32">
        <v>5.07</v>
      </c>
      <c r="K32" s="25" t="str" cm="1">
        <f t="array" ref="K32">IF(
  ISNUMBER(DATEVALUE(A32)),
  TEXT(DATEVALUE(A32),"yyyy-mm-dd"),
  IFERROR(
    TEXT(INDEX($A$2:$A$301,MATCH(1,
      ($B$2:$B$301=B32) * ($C$2:$C$301=C32) * ($D$2:$D$301=D32) * ($E$2:$E$301=E32) *
      ($F$2:$F$301=F32) * ($G$2:$G$301=G32) * ($H$2:$H$301=H32) * ($I$2:$I$301=I32) *
      ($J$2:$J$301=J32),0)),"yyyy-mm-dd"),
    "Perlu Klarifikasi"
  )
)</f>
        <v>2024-01-07</v>
      </c>
      <c r="L32" t="str" cm="1">
        <f t="array" ref="L32">IF(
  E32&lt;&gt;"Evening",
  E32,
  IFERROR(
    INDEX($E$2:$E$301, SMALL(
      IF(
        ($B$2:$B$301=B32) * ($C$2:$C$301=C32) * ($D$2:$D$301=D32) *
        ($F$2:$F$301=F32) * ($G$2:$G$301=G32) * ($H$2:$H$301=H32) * ($I$2:$I$301=I32) *
        ($J$2:$J$301=J32) * ($K$2:$K$301=K32) * ($E$2:$E$301&lt;&gt;"Evening"),
        ROW($E$2:$E$301)-ROW($E$2)+1,
        ""
      ),
    1)),
    "Night"
  )
)</f>
        <v>Day</v>
      </c>
    </row>
    <row r="33" spans="1:12" x14ac:dyDescent="0.3">
      <c r="A33" s="25" t="s">
        <v>24</v>
      </c>
      <c r="B33" t="s">
        <v>20</v>
      </c>
      <c r="C33" t="s">
        <v>25</v>
      </c>
      <c r="D33" t="s">
        <v>26</v>
      </c>
      <c r="E33" t="s">
        <v>27</v>
      </c>
      <c r="F33">
        <v>8608</v>
      </c>
      <c r="G33">
        <v>1381</v>
      </c>
      <c r="H33">
        <v>5.24</v>
      </c>
      <c r="I33">
        <v>0.17</v>
      </c>
      <c r="J33">
        <v>5.07</v>
      </c>
      <c r="K33" s="25" t="str" cm="1">
        <f t="array" ref="K33">IF(
  ISNUMBER(DATEVALUE(A33)),
  TEXT(DATEVALUE(A33),"yyyy-mm-dd"),
  IFERROR(
    TEXT(INDEX($A$2:$A$301,MATCH(1,
      ($B$2:$B$301=B33) * ($C$2:$C$301=C33) * ($D$2:$D$301=D33) * ($E$2:$E$301=E33) *
      ($F$2:$F$301=F33) * ($G$2:$G$301=G33) * ($H$2:$H$301=H33) * ($I$2:$I$301=I33) *
      ($J$2:$J$301=J33),0)),"yyyy-mm-dd"),
    "Perlu Klarifikasi"
  )
)</f>
        <v>2024-01-07</v>
      </c>
      <c r="L33" t="str" cm="1">
        <f t="array" ref="L33">IF(
  E33&lt;&gt;"Evening",
  E33,
  IFERROR(
    INDEX($E$2:$E$301, SMALL(
      IF(
        ($B$2:$B$301=B33) * ($C$2:$C$301=C33) * ($D$2:$D$301=D33) *
        ($F$2:$F$301=F33) * ($G$2:$G$301=G33) * ($H$2:$H$301=H33) * ($I$2:$I$301=I33) *
        ($J$2:$J$301=J33) * ($K$2:$K$301=K33) * ($E$2:$E$301&lt;&gt;"Evening"),
        ROW($E$2:$E$301)-ROW($E$2)+1,
        ""
      ),
    1)),
    "Night"
  )
)</f>
        <v>Day</v>
      </c>
    </row>
    <row r="34" spans="1:12" x14ac:dyDescent="0.3">
      <c r="A34" s="25" t="s">
        <v>24</v>
      </c>
      <c r="B34" t="s">
        <v>29</v>
      </c>
      <c r="C34" t="s">
        <v>21</v>
      </c>
      <c r="D34" t="s">
        <v>26</v>
      </c>
      <c r="E34" t="s">
        <v>23</v>
      </c>
      <c r="F34">
        <v>2268</v>
      </c>
      <c r="G34">
        <v>5211</v>
      </c>
      <c r="H34">
        <v>9.7799999999999994</v>
      </c>
      <c r="I34">
        <v>0.33</v>
      </c>
      <c r="J34">
        <v>9.4499999999999993</v>
      </c>
      <c r="K34" s="25" t="str" cm="1">
        <f t="array" ref="K34">IF(
  ISNUMBER(DATEVALUE(A34)),
  TEXT(DATEVALUE(A34),"yyyy-mm-dd"),
  IFERROR(
    TEXT(INDEX($A$2:$A$301,MATCH(1,
      ($B$2:$B$301=B34) * ($C$2:$C$301=C34) * ($D$2:$D$301=D34) * ($E$2:$E$301=E34) *
      ($F$2:$F$301=F34) * ($G$2:$G$301=G34) * ($H$2:$H$301=H34) * ($I$2:$I$301=I34) *
      ($J$2:$J$301=J34),0)),"yyyy-mm-dd"),
    "Perlu Klarifikasi"
  )
)</f>
        <v>2024-01-07</v>
      </c>
      <c r="L34" t="str" cm="1">
        <f t="array" ref="L34">IF(
  E34&lt;&gt;"Evening",
  E34,
  IFERROR(
    INDEX($E$2:$E$301, SMALL(
      IF(
        ($B$2:$B$301=B34) * ($C$2:$C$301=C34) * ($D$2:$D$301=D34) *
        ($F$2:$F$301=F34) * ($G$2:$G$301=G34) * ($H$2:$H$301=H34) * ($I$2:$I$301=I34) *
        ($J$2:$J$301=J34) * ($K$2:$K$301=K34) * ($E$2:$E$301&lt;&gt;"Evening"),
        ROW($E$2:$E$301)-ROW($E$2)+1,
        ""
      ),
    1)),
    "Night"
  )
)</f>
        <v>Night</v>
      </c>
    </row>
    <row r="35" spans="1:12" x14ac:dyDescent="0.3">
      <c r="A35" s="25" t="s">
        <v>85</v>
      </c>
      <c r="B35" t="s">
        <v>20</v>
      </c>
      <c r="C35" t="s">
        <v>30</v>
      </c>
      <c r="D35" t="s">
        <v>31</v>
      </c>
      <c r="E35" t="s">
        <v>27</v>
      </c>
      <c r="F35">
        <v>3338</v>
      </c>
      <c r="G35">
        <v>3878</v>
      </c>
      <c r="H35">
        <v>9.27</v>
      </c>
      <c r="I35">
        <v>0.35</v>
      </c>
      <c r="J35">
        <v>8.92</v>
      </c>
      <c r="K35" s="25" t="str" cm="1">
        <f t="array" ref="K35">IF(
  ISNUMBER(DATEVALUE(A35)),
  TEXT(DATEVALUE(A35),"yyyy-mm-dd"),
  IFERROR(
    TEXT(INDEX($A$2:$A$301,MATCH(1,
      ($B$2:$B$301=B35) * ($C$2:$C$301=C35) * ($D$2:$D$301=D35) * ($E$2:$E$301=E35) *
      ($F$2:$F$301=F35) * ($G$2:$G$301=G35) * ($H$2:$H$301=H35) * ($I$2:$I$301=I35) *
      ($J$2:$J$301=J35),0)),"yyyy-mm-dd"),
    "Perlu Klarifikasi"
  )
)</f>
        <v>2024-01-09</v>
      </c>
      <c r="L35" t="str" cm="1">
        <f t="array" ref="L35">IF(
  E35&lt;&gt;"Evening",
  E35,
  IFERROR(
    INDEX($E$2:$E$301, SMALL(
      IF(
        ($B$2:$B$301=B35) * ($C$2:$C$301=C35) * ($D$2:$D$301=D35) *
        ($F$2:$F$301=F35) * ($G$2:$G$301=G35) * ($H$2:$H$301=H35) * ($I$2:$I$301=I35) *
        ($J$2:$J$301=J35) * ($K$2:$K$301=K35) * ($E$2:$E$301&lt;&gt;"Evening"),
        ROW($E$2:$E$301)-ROW($E$2)+1,
        ""
      ),
    1)),
    "Night"
  )
)</f>
        <v>Day</v>
      </c>
    </row>
    <row r="36" spans="1:12" x14ac:dyDescent="0.3">
      <c r="A36" s="25" t="s">
        <v>85</v>
      </c>
      <c r="B36" t="s">
        <v>29</v>
      </c>
      <c r="C36" t="s">
        <v>30</v>
      </c>
      <c r="D36" t="s">
        <v>26</v>
      </c>
      <c r="E36" t="s">
        <v>23</v>
      </c>
      <c r="F36">
        <v>938</v>
      </c>
      <c r="G36">
        <v>2671</v>
      </c>
      <c r="H36">
        <v>6.8</v>
      </c>
      <c r="I36">
        <v>0.97</v>
      </c>
      <c r="J36">
        <v>5.83</v>
      </c>
      <c r="K36" s="25" t="str" cm="1">
        <f t="array" ref="K36">IF(
  ISNUMBER(DATEVALUE(A36)),
  TEXT(DATEVALUE(A36),"yyyy-mm-dd"),
  IFERROR(
    TEXT(INDEX($A$2:$A$301,MATCH(1,
      ($B$2:$B$301=B36) * ($C$2:$C$301=C36) * ($D$2:$D$301=D36) * ($E$2:$E$301=E36) *
      ($F$2:$F$301=F36) * ($G$2:$G$301=G36) * ($H$2:$H$301=H36) * ($I$2:$I$301=I36) *
      ($J$2:$J$301=J36),0)),"yyyy-mm-dd"),
    "Perlu Klarifikasi"
  )
)</f>
        <v>2024-01-09</v>
      </c>
      <c r="L36" t="str" cm="1">
        <f t="array" ref="L36">IF(
  E36&lt;&gt;"Evening",
  E36,
  IFERROR(
    INDEX($E$2:$E$301, SMALL(
      IF(
        ($B$2:$B$301=B36) * ($C$2:$C$301=C36) * ($D$2:$D$301=D36) *
        ($F$2:$F$301=F36) * ($G$2:$G$301=G36) * ($H$2:$H$301=H36) * ($I$2:$I$301=I36) *
        ($J$2:$J$301=J36) * ($K$2:$K$301=K36) * ($E$2:$E$301&lt;&gt;"Evening"),
        ROW($E$2:$E$301)-ROW($E$2)+1,
        ""
      ),
    1)),
    "Night"
  )
)</f>
        <v>Night</v>
      </c>
    </row>
    <row r="37" spans="1:12" x14ac:dyDescent="0.3">
      <c r="A37" s="25" t="s">
        <v>85</v>
      </c>
      <c r="B37" t="s">
        <v>20</v>
      </c>
      <c r="C37" t="s">
        <v>30</v>
      </c>
      <c r="D37" t="s">
        <v>31</v>
      </c>
      <c r="E37" t="s">
        <v>27</v>
      </c>
      <c r="F37">
        <v>3338</v>
      </c>
      <c r="G37">
        <v>3878</v>
      </c>
      <c r="H37">
        <v>9.27</v>
      </c>
      <c r="I37">
        <v>0.35</v>
      </c>
      <c r="J37">
        <v>8.92</v>
      </c>
      <c r="K37" s="25" t="str" cm="1">
        <f t="array" ref="K37">IF(
  ISNUMBER(DATEVALUE(A37)),
  TEXT(DATEVALUE(A37),"yyyy-mm-dd"),
  IFERROR(
    TEXT(INDEX($A$2:$A$301,MATCH(1,
      ($B$2:$B$301=B37) * ($C$2:$C$301=C37) * ($D$2:$D$301=D37) * ($E$2:$E$301=E37) *
      ($F$2:$F$301=F37) * ($G$2:$G$301=G37) * ($H$2:$H$301=H37) * ($I$2:$I$301=I37) *
      ($J$2:$J$301=J37),0)),"yyyy-mm-dd"),
    "Perlu Klarifikasi"
  )
)</f>
        <v>2024-01-09</v>
      </c>
      <c r="L37" t="str" cm="1">
        <f t="array" ref="L37">IF(
  E37&lt;&gt;"Evening",
  E37,
  IFERROR(
    INDEX($E$2:$E$301, SMALL(
      IF(
        ($B$2:$B$301=B37) * ($C$2:$C$301=C37) * ($D$2:$D$301=D37) *
        ($F$2:$F$301=F37) * ($G$2:$G$301=G37) * ($H$2:$H$301=H37) * ($I$2:$I$301=I37) *
        ($J$2:$J$301=J37) * ($K$2:$K$301=K37) * ($E$2:$E$301&lt;&gt;"Evening"),
        ROW($E$2:$E$301)-ROW($E$2)+1,
        ""
      ),
    1)),
    "Night"
  )
)</f>
        <v>Day</v>
      </c>
    </row>
    <row r="38" spans="1:12" x14ac:dyDescent="0.3">
      <c r="A38" s="25" t="s">
        <v>85</v>
      </c>
      <c r="B38" t="s">
        <v>29</v>
      </c>
      <c r="C38" t="s">
        <v>30</v>
      </c>
      <c r="D38" t="s">
        <v>26</v>
      </c>
      <c r="E38" t="s">
        <v>23</v>
      </c>
      <c r="F38">
        <v>938</v>
      </c>
      <c r="G38">
        <v>2671</v>
      </c>
      <c r="H38">
        <v>6.8</v>
      </c>
      <c r="I38">
        <v>0.97</v>
      </c>
      <c r="J38">
        <v>5.83</v>
      </c>
      <c r="K38" s="25" t="str" cm="1">
        <f t="array" ref="K38">IF(
  ISNUMBER(DATEVALUE(A38)),
  TEXT(DATEVALUE(A38),"yyyy-mm-dd"),
  IFERROR(
    TEXT(INDEX($A$2:$A$301,MATCH(1,
      ($B$2:$B$301=B38) * ($C$2:$C$301=C38) * ($D$2:$D$301=D38) * ($E$2:$E$301=E38) *
      ($F$2:$F$301=F38) * ($G$2:$G$301=G38) * ($H$2:$H$301=H38) * ($I$2:$I$301=I38) *
      ($J$2:$J$301=J38),0)),"yyyy-mm-dd"),
    "Perlu Klarifikasi"
  )
)</f>
        <v>2024-01-09</v>
      </c>
      <c r="L38" t="str" cm="1">
        <f t="array" ref="L38">IF(
  E38&lt;&gt;"Evening",
  E38,
  IFERROR(
    INDEX($E$2:$E$301, SMALL(
      IF(
        ($B$2:$B$301=B38) * ($C$2:$C$301=C38) * ($D$2:$D$301=D38) *
        ($F$2:$F$301=F38) * ($G$2:$G$301=G38) * ($H$2:$H$301=H38) * ($I$2:$I$301=I38) *
        ($J$2:$J$301=J38) * ($K$2:$K$301=K38) * ($E$2:$E$301&lt;&gt;"Evening"),
        ROW($E$2:$E$301)-ROW($E$2)+1,
        ""
      ),
    1)),
    "Night"
  )
)</f>
        <v>Night</v>
      </c>
    </row>
    <row r="39" spans="1:12" x14ac:dyDescent="0.3">
      <c r="A39" s="25" t="s">
        <v>85</v>
      </c>
      <c r="B39" t="s">
        <v>20</v>
      </c>
      <c r="C39" t="s">
        <v>30</v>
      </c>
      <c r="D39" t="s">
        <v>31</v>
      </c>
      <c r="E39" t="s">
        <v>27</v>
      </c>
      <c r="F39">
        <v>3338</v>
      </c>
      <c r="G39">
        <v>3878</v>
      </c>
      <c r="H39">
        <v>9.27</v>
      </c>
      <c r="I39">
        <v>0.35</v>
      </c>
      <c r="J39">
        <v>8.92</v>
      </c>
      <c r="K39" s="25" t="str" cm="1">
        <f t="array" ref="K39">IF(
  ISNUMBER(DATEVALUE(A39)),
  TEXT(DATEVALUE(A39),"yyyy-mm-dd"),
  IFERROR(
    TEXT(INDEX($A$2:$A$301,MATCH(1,
      ($B$2:$B$301=B39) * ($C$2:$C$301=C39) * ($D$2:$D$301=D39) * ($E$2:$E$301=E39) *
      ($F$2:$F$301=F39) * ($G$2:$G$301=G39) * ($H$2:$H$301=H39) * ($I$2:$I$301=I39) *
      ($J$2:$J$301=J39),0)),"yyyy-mm-dd"),
    "Perlu Klarifikasi"
  )
)</f>
        <v>2024-01-09</v>
      </c>
      <c r="L39" t="str" cm="1">
        <f t="array" ref="L39">IF(
  E39&lt;&gt;"Evening",
  E39,
  IFERROR(
    INDEX($E$2:$E$301, SMALL(
      IF(
        ($B$2:$B$301=B39) * ($C$2:$C$301=C39) * ($D$2:$D$301=D39) *
        ($F$2:$F$301=F39) * ($G$2:$G$301=G39) * ($H$2:$H$301=H39) * ($I$2:$I$301=I39) *
        ($J$2:$J$301=J39) * ($K$2:$K$301=K39) * ($E$2:$E$301&lt;&gt;"Evening"),
        ROW($E$2:$E$301)-ROW($E$2)+1,
        ""
      ),
    1)),
    "Night"
  )
)</f>
        <v>Day</v>
      </c>
    </row>
    <row r="40" spans="1:12" x14ac:dyDescent="0.3">
      <c r="A40" s="25" t="s">
        <v>85</v>
      </c>
      <c r="B40" t="s">
        <v>34</v>
      </c>
      <c r="C40" t="s">
        <v>21</v>
      </c>
      <c r="D40" t="s">
        <v>26</v>
      </c>
      <c r="E40" t="s">
        <v>27</v>
      </c>
      <c r="F40">
        <v>5401</v>
      </c>
      <c r="G40">
        <v>78</v>
      </c>
      <c r="H40">
        <v>8.17</v>
      </c>
      <c r="I40">
        <v>0.51</v>
      </c>
      <c r="J40">
        <v>7.66</v>
      </c>
      <c r="K40" s="25" t="str" cm="1">
        <f t="array" ref="K40">IF(
  ISNUMBER(DATEVALUE(A40)),
  TEXT(DATEVALUE(A40),"yyyy-mm-dd"),
  IFERROR(
    TEXT(INDEX($A$2:$A$301,MATCH(1,
      ($B$2:$B$301=B40) * ($C$2:$C$301=C40) * ($D$2:$D$301=D40) * ($E$2:$E$301=E40) *
      ($F$2:$F$301=F40) * ($G$2:$G$301=G40) * ($H$2:$H$301=H40) * ($I$2:$I$301=I40) *
      ($J$2:$J$301=J40),0)),"yyyy-mm-dd"),
    "Perlu Klarifikasi"
  )
)</f>
        <v>2024-01-09</v>
      </c>
      <c r="L40" t="str" cm="1">
        <f t="array" ref="L40">IF(
  E40&lt;&gt;"Evening",
  E40,
  IFERROR(
    INDEX($E$2:$E$301, SMALL(
      IF(
        ($B$2:$B$301=B40) * ($C$2:$C$301=C40) * ($D$2:$D$301=D40) *
        ($F$2:$F$301=F40) * ($G$2:$G$301=G40) * ($H$2:$H$301=H40) * ($I$2:$I$301=I40) *
        ($J$2:$J$301=J40) * ($K$2:$K$301=K40) * ($E$2:$E$301&lt;&gt;"Evening"),
        ROW($E$2:$E$301)-ROW($E$2)+1,
        ""
      ),
    1)),
    "Night"
  )
)</f>
        <v>Day</v>
      </c>
    </row>
    <row r="41" spans="1:12" x14ac:dyDescent="0.3">
      <c r="A41" s="25" t="s">
        <v>87</v>
      </c>
      <c r="B41" t="s">
        <v>20</v>
      </c>
      <c r="C41" t="s">
        <v>21</v>
      </c>
      <c r="D41" t="s">
        <v>31</v>
      </c>
      <c r="E41" t="s">
        <v>23</v>
      </c>
      <c r="F41">
        <v>2208</v>
      </c>
      <c r="G41">
        <v>3296</v>
      </c>
      <c r="H41">
        <v>6.97</v>
      </c>
      <c r="I41">
        <v>0.23</v>
      </c>
      <c r="J41">
        <v>6.74</v>
      </c>
      <c r="K41" s="25" t="str" cm="1">
        <f t="array" ref="K41">IF(
  ISNUMBER(DATEVALUE(A41)),
  TEXT(DATEVALUE(A41),"yyyy-mm-dd"),
  IFERROR(
    TEXT(INDEX($A$2:$A$301,MATCH(1,
      ($B$2:$B$301=B41) * ($C$2:$C$301=C41) * ($D$2:$D$301=D41) * ($E$2:$E$301=E41) *
      ($F$2:$F$301=F41) * ($G$2:$G$301=G41) * ($H$2:$H$301=H41) * ($I$2:$I$301=I41) *
      ($J$2:$J$301=J41),0)),"yyyy-mm-dd"),
    "Perlu Klarifikasi"
  )
)</f>
        <v>2024-01-10</v>
      </c>
      <c r="L41" t="str" cm="1">
        <f t="array" ref="L41">IF(
  E41&lt;&gt;"Evening",
  E41,
  IFERROR(
    INDEX($E$2:$E$301, SMALL(
      IF(
        ($B$2:$B$301=B41) * ($C$2:$C$301=C41) * ($D$2:$D$301=D41) *
        ($F$2:$F$301=F41) * ($G$2:$G$301=G41) * ($H$2:$H$301=H41) * ($I$2:$I$301=I41) *
        ($J$2:$J$301=J41) * ($K$2:$K$301=K41) * ($E$2:$E$301&lt;&gt;"Evening"),
        ROW($E$2:$E$301)-ROW($E$2)+1,
        ""
      ),
    1)),
    "Night"
  )
)</f>
        <v>Night</v>
      </c>
    </row>
    <row r="42" spans="1:12" x14ac:dyDescent="0.3">
      <c r="A42" s="25" t="s">
        <v>87</v>
      </c>
      <c r="B42" t="s">
        <v>20</v>
      </c>
      <c r="C42" t="s">
        <v>21</v>
      </c>
      <c r="D42" t="s">
        <v>31</v>
      </c>
      <c r="E42" t="s">
        <v>23</v>
      </c>
      <c r="F42">
        <v>2208</v>
      </c>
      <c r="G42">
        <v>3296</v>
      </c>
      <c r="H42">
        <v>6.97</v>
      </c>
      <c r="I42">
        <v>0.23</v>
      </c>
      <c r="J42">
        <v>6.74</v>
      </c>
      <c r="K42" s="25" t="str" cm="1">
        <f t="array" ref="K42">IF(
  ISNUMBER(DATEVALUE(A42)),
  TEXT(DATEVALUE(A42),"yyyy-mm-dd"),
  IFERROR(
    TEXT(INDEX($A$2:$A$301,MATCH(1,
      ($B$2:$B$301=B42) * ($C$2:$C$301=C42) * ($D$2:$D$301=D42) * ($E$2:$E$301=E42) *
      ($F$2:$F$301=F42) * ($G$2:$G$301=G42) * ($H$2:$H$301=H42) * ($I$2:$I$301=I42) *
      ($J$2:$J$301=J42),0)),"yyyy-mm-dd"),
    "Perlu Klarifikasi"
  )
)</f>
        <v>2024-01-10</v>
      </c>
      <c r="L42" t="str" cm="1">
        <f t="array" ref="L42">IF(
  E42&lt;&gt;"Evening",
  E42,
  IFERROR(
    INDEX($E$2:$E$301, SMALL(
      IF(
        ($B$2:$B$301=B42) * ($C$2:$C$301=C42) * ($D$2:$D$301=D42) *
        ($F$2:$F$301=F42) * ($G$2:$G$301=G42) * ($H$2:$H$301=H42) * ($I$2:$I$301=I42) *
        ($J$2:$J$301=J42) * ($K$2:$K$301=K42) * ($E$2:$E$301&lt;&gt;"Evening"),
        ROW($E$2:$E$301)-ROW($E$2)+1,
        ""
      ),
    1)),
    "Night"
  )
)</f>
        <v>Night</v>
      </c>
    </row>
    <row r="43" spans="1:12" x14ac:dyDescent="0.3">
      <c r="A43" s="25" t="s">
        <v>87</v>
      </c>
      <c r="B43" t="s">
        <v>20</v>
      </c>
      <c r="C43" t="s">
        <v>21</v>
      </c>
      <c r="D43" t="s">
        <v>31</v>
      </c>
      <c r="E43" t="s">
        <v>23</v>
      </c>
      <c r="F43">
        <v>2208</v>
      </c>
      <c r="G43">
        <v>3296</v>
      </c>
      <c r="H43">
        <v>6.97</v>
      </c>
      <c r="I43">
        <v>0.23</v>
      </c>
      <c r="J43">
        <v>6.74</v>
      </c>
      <c r="K43" s="25" t="str" cm="1">
        <f t="array" ref="K43">IF(
  ISNUMBER(DATEVALUE(A43)),
  TEXT(DATEVALUE(A43),"yyyy-mm-dd"),
  IFERROR(
    TEXT(INDEX($A$2:$A$301,MATCH(1,
      ($B$2:$B$301=B43) * ($C$2:$C$301=C43) * ($D$2:$D$301=D43) * ($E$2:$E$301=E43) *
      ($F$2:$F$301=F43) * ($G$2:$G$301=G43) * ($H$2:$H$301=H43) * ($I$2:$I$301=I43) *
      ($J$2:$J$301=J43),0)),"yyyy-mm-dd"),
    "Perlu Klarifikasi"
  )
)</f>
        <v>2024-01-10</v>
      </c>
      <c r="L43" t="str" cm="1">
        <f t="array" ref="L43">IF(
  E43&lt;&gt;"Evening",
  E43,
  IFERROR(
    INDEX($E$2:$E$301, SMALL(
      IF(
        ($B$2:$B$301=B43) * ($C$2:$C$301=C43) * ($D$2:$D$301=D43) *
        ($F$2:$F$301=F43) * ($G$2:$G$301=G43) * ($H$2:$H$301=H43) * ($I$2:$I$301=I43) *
        ($J$2:$J$301=J43) * ($K$2:$K$301=K43) * ($E$2:$E$301&lt;&gt;"Evening"),
        ROW($E$2:$E$301)-ROW($E$2)+1,
        ""
      ),
    1)),
    "Night"
  )
)</f>
        <v>Night</v>
      </c>
    </row>
    <row r="44" spans="1:12" x14ac:dyDescent="0.3">
      <c r="A44" s="25" t="s">
        <v>87</v>
      </c>
      <c r="B44" t="s">
        <v>20</v>
      </c>
      <c r="C44" t="s">
        <v>25</v>
      </c>
      <c r="D44" t="s">
        <v>26</v>
      </c>
      <c r="E44" t="s">
        <v>23</v>
      </c>
      <c r="F44">
        <v>1812</v>
      </c>
      <c r="G44">
        <v>4496</v>
      </c>
      <c r="H44">
        <v>4.7699999999999996</v>
      </c>
      <c r="I44">
        <v>1.1299999999999999</v>
      </c>
      <c r="J44">
        <v>3.64</v>
      </c>
      <c r="K44" s="25" t="str" cm="1">
        <f t="array" ref="K44">IF(
  ISNUMBER(DATEVALUE(A44)),
  TEXT(DATEVALUE(A44),"yyyy-mm-dd"),
  IFERROR(
    TEXT(INDEX($A$2:$A$301,MATCH(1,
      ($B$2:$B$301=B44) * ($C$2:$C$301=C44) * ($D$2:$D$301=D44) * ($E$2:$E$301=E44) *
      ($F$2:$F$301=F44) * ($G$2:$G$301=G44) * ($H$2:$H$301=H44) * ($I$2:$I$301=I44) *
      ($J$2:$J$301=J44),0)),"yyyy-mm-dd"),
    "Perlu Klarifikasi"
  )
)</f>
        <v>2024-01-10</v>
      </c>
      <c r="L44" t="str" cm="1">
        <f t="array" ref="L44">IF(
  E44&lt;&gt;"Evening",
  E44,
  IFERROR(
    INDEX($E$2:$E$301, SMALL(
      IF(
        ($B$2:$B$301=B44) * ($C$2:$C$301=C44) * ($D$2:$D$301=D44) *
        ($F$2:$F$301=F44) * ($G$2:$G$301=G44) * ($H$2:$H$301=H44) * ($I$2:$I$301=I44) *
        ($J$2:$J$301=J44) * ($K$2:$K$301=K44) * ($E$2:$E$301&lt;&gt;"Evening"),
        ROW($E$2:$E$301)-ROW($E$2)+1,
        ""
      ),
    1)),
    "Night"
  )
)</f>
        <v>Night</v>
      </c>
    </row>
    <row r="45" spans="1:12" x14ac:dyDescent="0.3">
      <c r="A45" s="25" t="s">
        <v>102</v>
      </c>
      <c r="B45" t="s">
        <v>20</v>
      </c>
      <c r="C45" t="s">
        <v>25</v>
      </c>
      <c r="D45" t="s">
        <v>26</v>
      </c>
      <c r="E45" t="s">
        <v>23</v>
      </c>
      <c r="F45">
        <v>566</v>
      </c>
      <c r="G45">
        <v>2310</v>
      </c>
      <c r="H45">
        <v>8.84</v>
      </c>
      <c r="I45">
        <v>1.88</v>
      </c>
      <c r="J45">
        <v>6.96</v>
      </c>
      <c r="K45" s="25" t="str" cm="1">
        <f t="array" ref="K45">IF(
  ISNUMBER(DATEVALUE(A45)),
  TEXT(DATEVALUE(A45),"yyyy-mm-dd"),
  IFERROR(
    TEXT(INDEX($A$2:$A$301,MATCH(1,
      ($B$2:$B$301=B45) * ($C$2:$C$301=C45) * ($D$2:$D$301=D45) * ($E$2:$E$301=E45) *
      ($F$2:$F$301=F45) * ($G$2:$G$301=G45) * ($H$2:$H$301=H45) * ($I$2:$I$301=I45) *
      ($J$2:$J$301=J45),0)),"yyyy-mm-dd"),
    "Perlu Klarifikasi"
  )
)</f>
        <v>2024-01-11</v>
      </c>
      <c r="L45" t="str" cm="1">
        <f t="array" ref="L45">IF(
  E45&lt;&gt;"Evening",
  E45,
  IFERROR(
    INDEX($E$2:$E$301, SMALL(
      IF(
        ($B$2:$B$301=B45) * ($C$2:$C$301=C45) * ($D$2:$D$301=D45) *
        ($F$2:$F$301=F45) * ($G$2:$G$301=G45) * ($H$2:$H$301=H45) * ($I$2:$I$301=I45) *
        ($J$2:$J$301=J45) * ($K$2:$K$301=K45) * ($E$2:$E$301&lt;&gt;"Evening"),
        ROW($E$2:$E$301)-ROW($E$2)+1,
        ""
      ),
    1)),
    "Night"
  )
)</f>
        <v>Night</v>
      </c>
    </row>
    <row r="46" spans="1:12" x14ac:dyDescent="0.3">
      <c r="A46" s="25" t="s">
        <v>102</v>
      </c>
      <c r="B46" t="s">
        <v>20</v>
      </c>
      <c r="C46" t="s">
        <v>25</v>
      </c>
      <c r="D46" t="s">
        <v>26</v>
      </c>
      <c r="E46" t="s">
        <v>23</v>
      </c>
      <c r="F46">
        <v>566</v>
      </c>
      <c r="G46">
        <v>2310</v>
      </c>
      <c r="H46">
        <v>8.84</v>
      </c>
      <c r="I46">
        <v>1.88</v>
      </c>
      <c r="J46">
        <v>6.96</v>
      </c>
      <c r="K46" s="25" t="str" cm="1">
        <f t="array" ref="K46">IF(
  ISNUMBER(DATEVALUE(A46)),
  TEXT(DATEVALUE(A46),"yyyy-mm-dd"),
  IFERROR(
    TEXT(INDEX($A$2:$A$301,MATCH(1,
      ($B$2:$B$301=B46) * ($C$2:$C$301=C46) * ($D$2:$D$301=D46) * ($E$2:$E$301=E46) *
      ($F$2:$F$301=F46) * ($G$2:$G$301=G46) * ($H$2:$H$301=H46) * ($I$2:$I$301=I46) *
      ($J$2:$J$301=J46),0)),"yyyy-mm-dd"),
    "Perlu Klarifikasi"
  )
)</f>
        <v>2024-01-11</v>
      </c>
      <c r="L46" t="str" cm="1">
        <f t="array" ref="L46">IF(
  E46&lt;&gt;"Evening",
  E46,
  IFERROR(
    INDEX($E$2:$E$301, SMALL(
      IF(
        ($B$2:$B$301=B46) * ($C$2:$C$301=C46) * ($D$2:$D$301=D46) *
        ($F$2:$F$301=F46) * ($G$2:$G$301=G46) * ($H$2:$H$301=H46) * ($I$2:$I$301=I46) *
        ($J$2:$J$301=J46) * ($K$2:$K$301=K46) * ($E$2:$E$301&lt;&gt;"Evening"),
        ROW($E$2:$E$301)-ROW($E$2)+1,
        ""
      ),
    1)),
    "Night"
  )
)</f>
        <v>Night</v>
      </c>
    </row>
    <row r="47" spans="1:12" x14ac:dyDescent="0.3">
      <c r="A47" s="25" t="s">
        <v>59</v>
      </c>
      <c r="B47" t="s">
        <v>29</v>
      </c>
      <c r="C47" t="s">
        <v>25</v>
      </c>
      <c r="D47" t="s">
        <v>31</v>
      </c>
      <c r="E47" t="s">
        <v>23</v>
      </c>
      <c r="F47">
        <v>866</v>
      </c>
      <c r="G47">
        <v>5665</v>
      </c>
      <c r="H47">
        <v>4.41</v>
      </c>
      <c r="I47">
        <v>0.72</v>
      </c>
      <c r="J47">
        <v>3.69</v>
      </c>
      <c r="K47" s="25" t="str" cm="1">
        <f t="array" ref="K47">IF(
  ISNUMBER(DATEVALUE(A47)),
  TEXT(DATEVALUE(A47),"yyyy-mm-dd"),
  IFERROR(
    TEXT(INDEX($A$2:$A$301,MATCH(1,
      ($B$2:$B$301=B47) * ($C$2:$C$301=C47) * ($D$2:$D$301=D47) * ($E$2:$E$301=E47) *
      ($F$2:$F$301=F47) * ($G$2:$G$301=G47) * ($H$2:$H$301=H47) * ($I$2:$I$301=I47) *
      ($J$2:$J$301=J47),0)),"yyyy-mm-dd"),
    "Perlu Klarifikasi"
  )
)</f>
        <v>2024-01-12</v>
      </c>
      <c r="L47" t="str" cm="1">
        <f t="array" ref="L47">IF(
  E47&lt;&gt;"Evening",
  E47,
  IFERROR(
    INDEX($E$2:$E$301, SMALL(
      IF(
        ($B$2:$B$301=B47) * ($C$2:$C$301=C47) * ($D$2:$D$301=D47) *
        ($F$2:$F$301=F47) * ($G$2:$G$301=G47) * ($H$2:$H$301=H47) * ($I$2:$I$301=I47) *
        ($J$2:$J$301=J47) * ($K$2:$K$301=K47) * ($E$2:$E$301&lt;&gt;"Evening"),
        ROW($E$2:$E$301)-ROW($E$2)+1,
        ""
      ),
    1)),
    "Night"
  )
)</f>
        <v>Night</v>
      </c>
    </row>
    <row r="48" spans="1:12" x14ac:dyDescent="0.3">
      <c r="A48" s="25" t="s">
        <v>59</v>
      </c>
      <c r="B48" t="s">
        <v>29</v>
      </c>
      <c r="C48" t="s">
        <v>25</v>
      </c>
      <c r="D48" t="s">
        <v>31</v>
      </c>
      <c r="E48" t="s">
        <v>23</v>
      </c>
      <c r="F48">
        <v>866</v>
      </c>
      <c r="G48">
        <v>5665</v>
      </c>
      <c r="H48">
        <v>4.41</v>
      </c>
      <c r="I48">
        <v>0.72</v>
      </c>
      <c r="J48">
        <v>3.69</v>
      </c>
      <c r="K48" s="25" t="str" cm="1">
        <f t="array" ref="K48">IF(
  ISNUMBER(DATEVALUE(A48)),
  TEXT(DATEVALUE(A48),"yyyy-mm-dd"),
  IFERROR(
    TEXT(INDEX($A$2:$A$301,MATCH(1,
      ($B$2:$B$301=B48) * ($C$2:$C$301=C48) * ($D$2:$D$301=D48) * ($E$2:$E$301=E48) *
      ($F$2:$F$301=F48) * ($G$2:$G$301=G48) * ($H$2:$H$301=H48) * ($I$2:$I$301=I48) *
      ($J$2:$J$301=J48),0)),"yyyy-mm-dd"),
    "Perlu Klarifikasi"
  )
)</f>
        <v>2024-01-12</v>
      </c>
      <c r="L48" t="str" cm="1">
        <f t="array" ref="L48">IF(
  E48&lt;&gt;"Evening",
  E48,
  IFERROR(
    INDEX($E$2:$E$301, SMALL(
      IF(
        ($B$2:$B$301=B48) * ($C$2:$C$301=C48) * ($D$2:$D$301=D48) *
        ($F$2:$F$301=F48) * ($G$2:$G$301=G48) * ($H$2:$H$301=H48) * ($I$2:$I$301=I48) *
        ($J$2:$J$301=J48) * ($K$2:$K$301=K48) * ($E$2:$E$301&lt;&gt;"Evening"),
        ROW($E$2:$E$301)-ROW($E$2)+1,
        ""
      ),
    1)),
    "Night"
  )
)</f>
        <v>Night</v>
      </c>
    </row>
    <row r="49" spans="1:12" x14ac:dyDescent="0.3">
      <c r="A49" s="25" t="s">
        <v>59</v>
      </c>
      <c r="B49" t="s">
        <v>34</v>
      </c>
      <c r="C49" t="s">
        <v>30</v>
      </c>
      <c r="D49" t="s">
        <v>31</v>
      </c>
      <c r="E49" s="22" t="s">
        <v>32</v>
      </c>
      <c r="F49">
        <v>2749</v>
      </c>
      <c r="G49">
        <v>3981</v>
      </c>
      <c r="H49">
        <v>7.71</v>
      </c>
      <c r="I49">
        <v>1.65</v>
      </c>
      <c r="J49">
        <v>6.06</v>
      </c>
      <c r="K49" s="25" t="str" cm="1">
        <f t="array" ref="K49">IF(
  ISNUMBER(DATEVALUE(A49)),
  TEXT(DATEVALUE(A49),"yyyy-mm-dd"),
  IFERROR(
    TEXT(INDEX($A$2:$A$301,MATCH(1,
      ($B$2:$B$301=B49) * ($C$2:$C$301=C49) * ($D$2:$D$301=D49) * ($E$2:$E$301=E49) *
      ($F$2:$F$301=F49) * ($G$2:$G$301=G49) * ($H$2:$H$301=H49) * ($I$2:$I$301=I49) *
      ($J$2:$J$301=J49),0)),"yyyy-mm-dd"),
    "Perlu Klarifikasi"
  )
)</f>
        <v>2024-01-12</v>
      </c>
      <c r="L49" t="str" cm="1">
        <f t="array" ref="L49">IF(
  E49&lt;&gt;"Evening",
  E49,
  IFERROR(
    INDEX($E$2:$E$301, SMALL(
      IF(
        ($B$2:$B$301=B49) * ($C$2:$C$301=C49) * ($D$2:$D$301=D49) *
        ($F$2:$F$301=F49) * ($G$2:$G$301=G49) * ($H$2:$H$301=H49) * ($I$2:$I$301=I49) *
        ($J$2:$J$301=J49) * ($K$2:$K$301=K49) * ($E$2:$E$301&lt;&gt;"Evening"),
        ROW($E$2:$E$301)-ROW($E$2)+1,
        ""
      ),
    1)),
    "Night"
  )
)</f>
        <v>Night</v>
      </c>
    </row>
    <row r="50" spans="1:12" x14ac:dyDescent="0.3">
      <c r="A50" s="25" t="s">
        <v>42</v>
      </c>
      <c r="B50" t="s">
        <v>20</v>
      </c>
      <c r="C50" t="s">
        <v>21</v>
      </c>
      <c r="D50" t="s">
        <v>31</v>
      </c>
      <c r="E50" t="s">
        <v>23</v>
      </c>
      <c r="F50">
        <v>8322</v>
      </c>
      <c r="G50">
        <v>5039</v>
      </c>
      <c r="H50">
        <v>9.36</v>
      </c>
      <c r="I50">
        <v>1.99</v>
      </c>
      <c r="J50">
        <v>7.37</v>
      </c>
      <c r="K50" s="25" t="str" cm="1">
        <f t="array" ref="K50">IF(
  ISNUMBER(DATEVALUE(A50)),
  TEXT(DATEVALUE(A50),"yyyy-mm-dd"),
  IFERROR(
    TEXT(INDEX($A$2:$A$301,MATCH(1,
      ($B$2:$B$301=B50) * ($C$2:$C$301=C50) * ($D$2:$D$301=D50) * ($E$2:$E$301=E50) *
      ($F$2:$F$301=F50) * ($G$2:$G$301=G50) * ($H$2:$H$301=H50) * ($I$2:$I$301=I50) *
      ($J$2:$J$301=J50),0)),"yyyy-mm-dd"),
    "Perlu Klarifikasi"
  )
)</f>
        <v>2024-01-14</v>
      </c>
      <c r="L50" t="str" cm="1">
        <f t="array" ref="L50">IF(
  E50&lt;&gt;"Evening",
  E50,
  IFERROR(
    INDEX($E$2:$E$301, SMALL(
      IF(
        ($B$2:$B$301=B50) * ($C$2:$C$301=C50) * ($D$2:$D$301=D50) *
        ($F$2:$F$301=F50) * ($G$2:$G$301=G50) * ($H$2:$H$301=H50) * ($I$2:$I$301=I50) *
        ($J$2:$J$301=J50) * ($K$2:$K$301=K50) * ($E$2:$E$301&lt;&gt;"Evening"),
        ROW($E$2:$E$301)-ROW($E$2)+1,
        ""
      ),
    1)),
    "Night"
  )
)</f>
        <v>Night</v>
      </c>
    </row>
    <row r="51" spans="1:12" x14ac:dyDescent="0.3">
      <c r="A51" s="25" t="s">
        <v>42</v>
      </c>
      <c r="B51" t="s">
        <v>29</v>
      </c>
      <c r="C51" t="s">
        <v>21</v>
      </c>
      <c r="D51" t="s">
        <v>22</v>
      </c>
      <c r="E51" t="s">
        <v>27</v>
      </c>
      <c r="F51">
        <v>6140</v>
      </c>
      <c r="G51">
        <v>68</v>
      </c>
      <c r="H51">
        <v>5.95</v>
      </c>
      <c r="I51">
        <v>0.06</v>
      </c>
      <c r="J51">
        <v>5.89</v>
      </c>
      <c r="K51" s="25" t="str" cm="1">
        <f t="array" ref="K51">IF(
  ISNUMBER(DATEVALUE(A51)),
  TEXT(DATEVALUE(A51),"yyyy-mm-dd"),
  IFERROR(
    TEXT(INDEX($A$2:$A$301,MATCH(1,
      ($B$2:$B$301=B51) * ($C$2:$C$301=C51) * ($D$2:$D$301=D51) * ($E$2:$E$301=E51) *
      ($F$2:$F$301=F51) * ($G$2:$G$301=G51) * ($H$2:$H$301=H51) * ($I$2:$I$301=I51) *
      ($J$2:$J$301=J51),0)),"yyyy-mm-dd"),
    "Perlu Klarifikasi"
  )
)</f>
        <v>2024-01-14</v>
      </c>
      <c r="L51" t="str" cm="1">
        <f t="array" ref="L51">IF(
  E51&lt;&gt;"Evening",
  E51,
  IFERROR(
    INDEX($E$2:$E$301, SMALL(
      IF(
        ($B$2:$B$301=B51) * ($C$2:$C$301=C51) * ($D$2:$D$301=D51) *
        ($F$2:$F$301=F51) * ($G$2:$G$301=G51) * ($H$2:$H$301=H51) * ($I$2:$I$301=I51) *
        ($J$2:$J$301=J51) * ($K$2:$K$301=K51) * ($E$2:$E$301&lt;&gt;"Evening"),
        ROW($E$2:$E$301)-ROW($E$2)+1,
        ""
      ),
    1)),
    "Night"
  )
)</f>
        <v>Day</v>
      </c>
    </row>
    <row r="52" spans="1:12" x14ac:dyDescent="0.3">
      <c r="A52" s="25" t="s">
        <v>42</v>
      </c>
      <c r="B52" t="s">
        <v>29</v>
      </c>
      <c r="C52" t="s">
        <v>21</v>
      </c>
      <c r="D52" t="s">
        <v>22</v>
      </c>
      <c r="E52" t="s">
        <v>27</v>
      </c>
      <c r="F52">
        <v>6140</v>
      </c>
      <c r="G52">
        <v>68</v>
      </c>
      <c r="H52">
        <v>5.95</v>
      </c>
      <c r="I52">
        <v>0.06</v>
      </c>
      <c r="J52">
        <v>5.89</v>
      </c>
      <c r="K52" s="25" t="str" cm="1">
        <f t="array" ref="K52">IF(
  ISNUMBER(DATEVALUE(A52)),
  TEXT(DATEVALUE(A52),"yyyy-mm-dd"),
  IFERROR(
    TEXT(INDEX($A$2:$A$301,MATCH(1,
      ($B$2:$B$301=B52) * ($C$2:$C$301=C52) * ($D$2:$D$301=D52) * ($E$2:$E$301=E52) *
      ($F$2:$F$301=F52) * ($G$2:$G$301=G52) * ($H$2:$H$301=H52) * ($I$2:$I$301=I52) *
      ($J$2:$J$301=J52),0)),"yyyy-mm-dd"),
    "Perlu Klarifikasi"
  )
)</f>
        <v>2024-01-14</v>
      </c>
      <c r="L52" t="str" cm="1">
        <f t="array" ref="L52">IF(
  E52&lt;&gt;"Evening",
  E52,
  IFERROR(
    INDEX($E$2:$E$301, SMALL(
      IF(
        ($B$2:$B$301=B52) * ($C$2:$C$301=C52) * ($D$2:$D$301=D52) *
        ($F$2:$F$301=F52) * ($G$2:$G$301=G52) * ($H$2:$H$301=H52) * ($I$2:$I$301=I52) *
        ($J$2:$J$301=J52) * ($K$2:$K$301=K52) * ($E$2:$E$301&lt;&gt;"Evening"),
        ROW($E$2:$E$301)-ROW($E$2)+1,
        ""
      ),
    1)),
    "Night"
  )
)</f>
        <v>Day</v>
      </c>
    </row>
    <row r="53" spans="1:12" x14ac:dyDescent="0.3">
      <c r="A53" s="25" t="s">
        <v>42</v>
      </c>
      <c r="B53" t="s">
        <v>20</v>
      </c>
      <c r="C53" t="s">
        <v>21</v>
      </c>
      <c r="D53" t="s">
        <v>31</v>
      </c>
      <c r="E53" t="s">
        <v>23</v>
      </c>
      <c r="F53">
        <v>8322</v>
      </c>
      <c r="G53" s="22">
        <f>G56</f>
        <v>5039</v>
      </c>
      <c r="H53">
        <v>9.36</v>
      </c>
      <c r="I53">
        <v>1.99</v>
      </c>
      <c r="J53">
        <v>7.37</v>
      </c>
      <c r="K53" s="25" t="str" cm="1">
        <f t="array" ref="K53">IF(
  ISNUMBER(DATEVALUE(A53)),
  TEXT(DATEVALUE(A53),"yyyy-mm-dd"),
  IFERROR(
    TEXT(INDEX($A$2:$A$301,MATCH(1,
      ($B$2:$B$301=B53) * ($C$2:$C$301=C53) * ($D$2:$D$301=D53) * ($E$2:$E$301=E53) *
      ($F$2:$F$301=F53) * ($G$2:$G$301=G53) * ($H$2:$H$301=H53) * ($I$2:$I$301=I53) *
      ($J$2:$J$301=J53),0)),"yyyy-mm-dd"),
    "Perlu Klarifikasi"
  )
)</f>
        <v>2024-01-14</v>
      </c>
      <c r="L53" t="str" cm="1">
        <f t="array" ref="L53">IF(
  E53&lt;&gt;"Evening",
  E53,
  IFERROR(
    INDEX($E$2:$E$301, SMALL(
      IF(
        ($B$2:$B$301=B53) * ($C$2:$C$301=C53) * ($D$2:$D$301=D53) *
        ($F$2:$F$301=F53) * ($G$2:$G$301=G53) * ($H$2:$H$301=H53) * ($I$2:$I$301=I53) *
        ($J$2:$J$301=J53) * ($K$2:$K$301=K53) * ($E$2:$E$301&lt;&gt;"Evening"),
        ROW($E$2:$E$301)-ROW($E$2)+1,
        ""
      ),
    1)),
    "Night"
  )
)</f>
        <v>Night</v>
      </c>
    </row>
    <row r="54" spans="1:12" x14ac:dyDescent="0.3">
      <c r="A54" s="25" t="s">
        <v>42</v>
      </c>
      <c r="B54" t="s">
        <v>29</v>
      </c>
      <c r="C54" t="s">
        <v>21</v>
      </c>
      <c r="D54" t="s">
        <v>22</v>
      </c>
      <c r="E54" t="s">
        <v>27</v>
      </c>
      <c r="F54">
        <v>6140</v>
      </c>
      <c r="G54">
        <v>68</v>
      </c>
      <c r="H54">
        <v>5.95</v>
      </c>
      <c r="I54">
        <v>0.06</v>
      </c>
      <c r="J54">
        <v>5.89</v>
      </c>
      <c r="K54" s="25" t="str" cm="1">
        <f t="array" ref="K54">IF(
  ISNUMBER(DATEVALUE(A54)),
  TEXT(DATEVALUE(A54),"yyyy-mm-dd"),
  IFERROR(
    TEXT(INDEX($A$2:$A$301,MATCH(1,
      ($B$2:$B$301=B54) * ($C$2:$C$301=C54) * ($D$2:$D$301=D54) * ($E$2:$E$301=E54) *
      ($F$2:$F$301=F54) * ($G$2:$G$301=G54) * ($H$2:$H$301=H54) * ($I$2:$I$301=I54) *
      ($J$2:$J$301=J54),0)),"yyyy-mm-dd"),
    "Perlu Klarifikasi"
  )
)</f>
        <v>2024-01-14</v>
      </c>
      <c r="L54" t="str" cm="1">
        <f t="array" ref="L54">IF(
  E54&lt;&gt;"Evening",
  E54,
  IFERROR(
    INDEX($E$2:$E$301, SMALL(
      IF(
        ($B$2:$B$301=B54) * ($C$2:$C$301=C54) * ($D$2:$D$301=D54) *
        ($F$2:$F$301=F54) * ($G$2:$G$301=G54) * ($H$2:$H$301=H54) * ($I$2:$I$301=I54) *
        ($J$2:$J$301=J54) * ($K$2:$K$301=K54) * ($E$2:$E$301&lt;&gt;"Evening"),
        ROW($E$2:$E$301)-ROW($E$2)+1,
        ""
      ),
    1)),
    "Night"
  )
)</f>
        <v>Day</v>
      </c>
    </row>
    <row r="55" spans="1:12" x14ac:dyDescent="0.3">
      <c r="A55" s="26" t="s">
        <v>52</v>
      </c>
      <c r="B55" t="s">
        <v>29</v>
      </c>
      <c r="C55" t="s">
        <v>21</v>
      </c>
      <c r="D55" t="s">
        <v>22</v>
      </c>
      <c r="E55" t="s">
        <v>27</v>
      </c>
      <c r="F55">
        <v>6140</v>
      </c>
      <c r="G55">
        <v>68</v>
      </c>
      <c r="H55">
        <v>5.95</v>
      </c>
      <c r="I55">
        <v>0.06</v>
      </c>
      <c r="J55">
        <v>5.89</v>
      </c>
      <c r="K55" s="25" t="str" cm="1">
        <f t="array" ref="K55">IF(
  ISNUMBER(DATEVALUE(A55)),
  TEXT(DATEVALUE(A55),"yyyy-mm-dd"),
  IFERROR(
    TEXT(INDEX($A$2:$A$301,MATCH(1,
      ($B$2:$B$301=B55) * ($C$2:$C$301=C55) * ($D$2:$D$301=D55) * ($E$2:$E$301=E55) *
      ($F$2:$F$301=F55) * ($G$2:$G$301=G55) * ($H$2:$H$301=H55) * ($I$2:$I$301=I55) *
      ($J$2:$J$301=J55),0)),"yyyy-mm-dd"),
    "Perlu Klarifikasi"
  )
)</f>
        <v>2024-01-14</v>
      </c>
      <c r="L55" t="str" cm="1">
        <f t="array" ref="L55">IF(
  E55&lt;&gt;"Evening",
  E55,
  IFERROR(
    INDEX($E$2:$E$301, SMALL(
      IF(
        ($B$2:$B$301=B55) * ($C$2:$C$301=C55) * ($D$2:$D$301=D55) *
        ($F$2:$F$301=F55) * ($G$2:$G$301=G55) * ($H$2:$H$301=H55) * ($I$2:$I$301=I55) *
        ($J$2:$J$301=J55) * ($K$2:$K$301=K55) * ($E$2:$E$301&lt;&gt;"Evening"),
        ROW($E$2:$E$301)-ROW($E$2)+1,
        ""
      ),
    1)),
    "Night"
  )
)</f>
        <v>Day</v>
      </c>
    </row>
    <row r="56" spans="1:12" x14ac:dyDescent="0.3">
      <c r="A56" s="25" t="s">
        <v>42</v>
      </c>
      <c r="B56" t="s">
        <v>20</v>
      </c>
      <c r="C56" t="s">
        <v>21</v>
      </c>
      <c r="D56" t="s">
        <v>31</v>
      </c>
      <c r="E56" t="s">
        <v>23</v>
      </c>
      <c r="F56">
        <v>8322</v>
      </c>
      <c r="G56">
        <v>5039</v>
      </c>
      <c r="H56">
        <v>9.36</v>
      </c>
      <c r="I56">
        <v>1.99</v>
      </c>
      <c r="J56">
        <v>7.37</v>
      </c>
      <c r="K56" s="25" t="str" cm="1">
        <f t="array" ref="K56">IF(
  ISNUMBER(DATEVALUE(A56)),
  TEXT(DATEVALUE(A56),"yyyy-mm-dd"),
  IFERROR(
    TEXT(INDEX($A$2:$A$301,MATCH(1,
      ($B$2:$B$301=B56) * ($C$2:$C$301=C56) * ($D$2:$D$301=D56) * ($E$2:$E$301=E56) *
      ($F$2:$F$301=F56) * ($G$2:$G$301=G56) * ($H$2:$H$301=H56) * ($I$2:$I$301=I56) *
      ($J$2:$J$301=J56),0)),"yyyy-mm-dd"),
    "Perlu Klarifikasi"
  )
)</f>
        <v>2024-01-14</v>
      </c>
      <c r="L56" t="str" cm="1">
        <f t="array" ref="L56">IF(
  E56&lt;&gt;"Evening",
  E56,
  IFERROR(
    INDEX($E$2:$E$301, SMALL(
      IF(
        ($B$2:$B$301=B56) * ($C$2:$C$301=C56) * ($D$2:$D$301=D56) *
        ($F$2:$F$301=F56) * ($G$2:$G$301=G56) * ($H$2:$H$301=H56) * ($I$2:$I$301=I56) *
        ($J$2:$J$301=J56) * ($K$2:$K$301=K56) * ($E$2:$E$301&lt;&gt;"Evening"),
        ROW($E$2:$E$301)-ROW($E$2)+1,
        ""
      ),
    1)),
    "Night"
  )
)</f>
        <v>Night</v>
      </c>
    </row>
    <row r="57" spans="1:12" x14ac:dyDescent="0.3">
      <c r="A57" s="25" t="s">
        <v>42</v>
      </c>
      <c r="B57" t="s">
        <v>29</v>
      </c>
      <c r="C57" t="s">
        <v>30</v>
      </c>
      <c r="D57" t="s">
        <v>22</v>
      </c>
      <c r="E57" t="s">
        <v>27</v>
      </c>
      <c r="F57">
        <v>5415</v>
      </c>
      <c r="G57">
        <v>5800</v>
      </c>
      <c r="H57">
        <v>4.57</v>
      </c>
      <c r="I57">
        <v>0.38</v>
      </c>
      <c r="J57">
        <v>4.1900000000000004</v>
      </c>
      <c r="K57" s="25" t="str" cm="1">
        <f t="array" ref="K57">IF(
  ISNUMBER(DATEVALUE(A57)),
  TEXT(DATEVALUE(A57),"yyyy-mm-dd"),
  IFERROR(
    TEXT(INDEX($A$2:$A$301,MATCH(1,
      ($B$2:$B$301=B57) * ($C$2:$C$301=C57) * ($D$2:$D$301=D57) * ($E$2:$E$301=E57) *
      ($F$2:$F$301=F57) * ($G$2:$G$301=G57) * ($H$2:$H$301=H57) * ($I$2:$I$301=I57) *
      ($J$2:$J$301=J57),0)),"yyyy-mm-dd"),
    "Perlu Klarifikasi"
  )
)</f>
        <v>2024-01-14</v>
      </c>
      <c r="L57" t="str" cm="1">
        <f t="array" ref="L57">IF(
  E57&lt;&gt;"Evening",
  E57,
  IFERROR(
    INDEX($E$2:$E$301, SMALL(
      IF(
        ($B$2:$B$301=B57) * ($C$2:$C$301=C57) * ($D$2:$D$301=D57) *
        ($F$2:$F$301=F57) * ($G$2:$G$301=G57) * ($H$2:$H$301=H57) * ($I$2:$I$301=I57) *
        ($J$2:$J$301=J57) * ($K$2:$K$301=K57) * ($E$2:$E$301&lt;&gt;"Evening"),
        ROW($E$2:$E$301)-ROW($E$2)+1,
        ""
      ),
    1)),
    "Night"
  )
)</f>
        <v>Day</v>
      </c>
    </row>
    <row r="58" spans="1:12" x14ac:dyDescent="0.3">
      <c r="A58" s="25" t="s">
        <v>42</v>
      </c>
      <c r="B58" t="s">
        <v>29</v>
      </c>
      <c r="C58" t="s">
        <v>30</v>
      </c>
      <c r="D58" t="s">
        <v>22</v>
      </c>
      <c r="E58" t="s">
        <v>27</v>
      </c>
      <c r="F58">
        <v>5415</v>
      </c>
      <c r="G58">
        <v>5800</v>
      </c>
      <c r="H58">
        <v>4.57</v>
      </c>
      <c r="I58">
        <v>0.38</v>
      </c>
      <c r="J58">
        <v>4.1900000000000004</v>
      </c>
      <c r="K58" s="25" t="str" cm="1">
        <f t="array" ref="K58">IF(
  ISNUMBER(DATEVALUE(A58)),
  TEXT(DATEVALUE(A58),"yyyy-mm-dd"),
  IFERROR(
    TEXT(INDEX($A$2:$A$301,MATCH(1,
      ($B$2:$B$301=B58) * ($C$2:$C$301=C58) * ($D$2:$D$301=D58) * ($E$2:$E$301=E58) *
      ($F$2:$F$301=F58) * ($G$2:$G$301=G58) * ($H$2:$H$301=H58) * ($I$2:$I$301=I58) *
      ($J$2:$J$301=J58),0)),"yyyy-mm-dd"),
    "Perlu Klarifikasi"
  )
)</f>
        <v>2024-01-14</v>
      </c>
      <c r="L58" t="str" cm="1">
        <f t="array" ref="L58">IF(
  E58&lt;&gt;"Evening",
  E58,
  IFERROR(
    INDEX($E$2:$E$301, SMALL(
      IF(
        ($B$2:$B$301=B58) * ($C$2:$C$301=C58) * ($D$2:$D$301=D58) *
        ($F$2:$F$301=F58) * ($G$2:$G$301=G58) * ($H$2:$H$301=H58) * ($I$2:$I$301=I58) *
        ($J$2:$J$301=J58) * ($K$2:$K$301=K58) * ($E$2:$E$301&lt;&gt;"Evening"),
        ROW($E$2:$E$301)-ROW($E$2)+1,
        ""
      ),
    1)),
    "Night"
  )
)</f>
        <v>Day</v>
      </c>
    </row>
    <row r="59" spans="1:12" x14ac:dyDescent="0.3">
      <c r="A59" s="25" t="s">
        <v>42</v>
      </c>
      <c r="B59" t="s">
        <v>29</v>
      </c>
      <c r="C59" t="s">
        <v>30</v>
      </c>
      <c r="D59" t="s">
        <v>22</v>
      </c>
      <c r="E59" t="s">
        <v>27</v>
      </c>
      <c r="F59">
        <v>5415</v>
      </c>
      <c r="G59">
        <v>5800</v>
      </c>
      <c r="H59">
        <v>4.57</v>
      </c>
      <c r="I59">
        <v>0.38</v>
      </c>
      <c r="J59">
        <v>4.1900000000000004</v>
      </c>
      <c r="K59" s="25" t="str" cm="1">
        <f t="array" ref="K59">IF(
  ISNUMBER(DATEVALUE(A59)),
  TEXT(DATEVALUE(A59),"yyyy-mm-dd"),
  IFERROR(
    TEXT(INDEX($A$2:$A$301,MATCH(1,
      ($B$2:$B$301=B59) * ($C$2:$C$301=C59) * ($D$2:$D$301=D59) * ($E$2:$E$301=E59) *
      ($F$2:$F$301=F59) * ($G$2:$G$301=G59) * ($H$2:$H$301=H59) * ($I$2:$I$301=I59) *
      ($J$2:$J$301=J59),0)),"yyyy-mm-dd"),
    "Perlu Klarifikasi"
  )
)</f>
        <v>2024-01-14</v>
      </c>
      <c r="L59" t="str" cm="1">
        <f t="array" ref="L59">IF(
  E59&lt;&gt;"Evening",
  E59,
  IFERROR(
    INDEX($E$2:$E$301, SMALL(
      IF(
        ($B$2:$B$301=B59) * ($C$2:$C$301=C59) * ($D$2:$D$301=D59) *
        ($F$2:$F$301=F59) * ($G$2:$G$301=G59) * ($H$2:$H$301=H59) * ($I$2:$I$301=I59) *
        ($J$2:$J$301=J59) * ($K$2:$K$301=K59) * ($E$2:$E$301&lt;&gt;"Evening"),
        ROW($E$2:$E$301)-ROW($E$2)+1,
        ""
      ),
    1)),
    "Night"
  )
)</f>
        <v>Day</v>
      </c>
    </row>
    <row r="60" spans="1:12" x14ac:dyDescent="0.3">
      <c r="A60" s="25" t="s">
        <v>46</v>
      </c>
      <c r="B60" t="s">
        <v>29</v>
      </c>
      <c r="C60" t="s">
        <v>21</v>
      </c>
      <c r="D60" t="s">
        <v>31</v>
      </c>
      <c r="E60" t="s">
        <v>27</v>
      </c>
      <c r="F60">
        <v>7864</v>
      </c>
      <c r="G60">
        <v>4876</v>
      </c>
      <c r="H60">
        <v>6.23</v>
      </c>
      <c r="I60">
        <v>1.01</v>
      </c>
      <c r="J60">
        <v>5.22</v>
      </c>
      <c r="K60" s="25" t="str" cm="1">
        <f t="array" ref="K60">IF(
  ISNUMBER(DATEVALUE(A60)),
  TEXT(DATEVALUE(A60),"yyyy-mm-dd"),
  IFERROR(
    TEXT(INDEX($A$2:$A$301,MATCH(1,
      ($B$2:$B$301=B60) * ($C$2:$C$301=C60) * ($D$2:$D$301=D60) * ($E$2:$E$301=E60) *
      ($F$2:$F$301=F60) * ($G$2:$G$301=G60) * ($H$2:$H$301=H60) * ($I$2:$I$301=I60) *
      ($J$2:$J$301=J60),0)),"yyyy-mm-dd"),
    "Perlu Klarifikasi"
  )
)</f>
        <v>2024-01-15</v>
      </c>
      <c r="L60" t="str" cm="1">
        <f t="array" ref="L60">IF(
  E60&lt;&gt;"Evening",
  E60,
  IFERROR(
    INDEX($E$2:$E$301, SMALL(
      IF(
        ($B$2:$B$301=B60) * ($C$2:$C$301=C60) * ($D$2:$D$301=D60) *
        ($F$2:$F$301=F60) * ($G$2:$G$301=G60) * ($H$2:$H$301=H60) * ($I$2:$I$301=I60) *
        ($J$2:$J$301=J60) * ($K$2:$K$301=K60) * ($E$2:$E$301&lt;&gt;"Evening"),
        ROW($E$2:$E$301)-ROW($E$2)+1,
        ""
      ),
    1)),
    "Night"
  )
)</f>
        <v>Day</v>
      </c>
    </row>
    <row r="61" spans="1:12" x14ac:dyDescent="0.3">
      <c r="A61" s="25" t="s">
        <v>46</v>
      </c>
      <c r="B61" t="s">
        <v>29</v>
      </c>
      <c r="C61" t="s">
        <v>21</v>
      </c>
      <c r="D61" t="s">
        <v>26</v>
      </c>
      <c r="E61" t="s">
        <v>27</v>
      </c>
      <c r="F61">
        <v>4629</v>
      </c>
      <c r="G61">
        <v>6379</v>
      </c>
      <c r="H61">
        <v>6.26</v>
      </c>
      <c r="I61">
        <v>1.64</v>
      </c>
      <c r="J61">
        <v>4.62</v>
      </c>
      <c r="K61" s="25" t="str" cm="1">
        <f t="array" ref="K61">IF(
  ISNUMBER(DATEVALUE(A61)),
  TEXT(DATEVALUE(A61),"yyyy-mm-dd"),
  IFERROR(
    TEXT(INDEX($A$2:$A$301,MATCH(1,
      ($B$2:$B$301=B61) * ($C$2:$C$301=C61) * ($D$2:$D$301=D61) * ($E$2:$E$301=E61) *
      ($F$2:$F$301=F61) * ($G$2:$G$301=G61) * ($H$2:$H$301=H61) * ($I$2:$I$301=I61) *
      ($J$2:$J$301=J61),0)),"yyyy-mm-dd"),
    "Perlu Klarifikasi"
  )
)</f>
        <v>2024-01-15</v>
      </c>
      <c r="L61" t="str" cm="1">
        <f t="array" ref="L61">IF(
  E61&lt;&gt;"Evening",
  E61,
  IFERROR(
    INDEX($E$2:$E$301, SMALL(
      IF(
        ($B$2:$B$301=B61) * ($C$2:$C$301=C61) * ($D$2:$D$301=D61) *
        ($F$2:$F$301=F61) * ($G$2:$G$301=G61) * ($H$2:$H$301=H61) * ($I$2:$I$301=I61) *
        ($J$2:$J$301=J61) * ($K$2:$K$301=K61) * ($E$2:$E$301&lt;&gt;"Evening"),
        ROW($E$2:$E$301)-ROW($E$2)+1,
        ""
      ),
    1)),
    "Night"
  )
)</f>
        <v>Day</v>
      </c>
    </row>
    <row r="62" spans="1:12" x14ac:dyDescent="0.3">
      <c r="A62" s="25" t="s">
        <v>46</v>
      </c>
      <c r="B62" t="s">
        <v>29</v>
      </c>
      <c r="C62" t="s">
        <v>21</v>
      </c>
      <c r="D62" t="s">
        <v>26</v>
      </c>
      <c r="E62" t="s">
        <v>27</v>
      </c>
      <c r="F62">
        <v>4629</v>
      </c>
      <c r="G62">
        <v>6379</v>
      </c>
      <c r="H62">
        <v>6.26</v>
      </c>
      <c r="I62">
        <v>1.64</v>
      </c>
      <c r="J62">
        <v>4.62</v>
      </c>
      <c r="K62" s="25" t="str" cm="1">
        <f t="array" ref="K62">IF(
  ISNUMBER(DATEVALUE(A62)),
  TEXT(DATEVALUE(A62),"yyyy-mm-dd"),
  IFERROR(
    TEXT(INDEX($A$2:$A$301,MATCH(1,
      ($B$2:$B$301=B62) * ($C$2:$C$301=C62) * ($D$2:$D$301=D62) * ($E$2:$E$301=E62) *
      ($F$2:$F$301=F62) * ($G$2:$G$301=G62) * ($H$2:$H$301=H62) * ($I$2:$I$301=I62) *
      ($J$2:$J$301=J62),0)),"yyyy-mm-dd"),
    "Perlu Klarifikasi"
  )
)</f>
        <v>2024-01-15</v>
      </c>
      <c r="L62" t="str" cm="1">
        <f t="array" ref="L62">IF(
  E62&lt;&gt;"Evening",
  E62,
  IFERROR(
    INDEX($E$2:$E$301, SMALL(
      IF(
        ($B$2:$B$301=B62) * ($C$2:$C$301=C62) * ($D$2:$D$301=D62) *
        ($F$2:$F$301=F62) * ($G$2:$G$301=G62) * ($H$2:$H$301=H62) * ($I$2:$I$301=I62) *
        ($J$2:$J$301=J62) * ($K$2:$K$301=K62) * ($E$2:$E$301&lt;&gt;"Evening"),
        ROW($E$2:$E$301)-ROW($E$2)+1,
        ""
      ),
    1)),
    "Night"
  )
)</f>
        <v>Day</v>
      </c>
    </row>
    <row r="63" spans="1:12" x14ac:dyDescent="0.3">
      <c r="A63" s="25" t="s">
        <v>46</v>
      </c>
      <c r="B63" t="s">
        <v>20</v>
      </c>
      <c r="C63" t="s">
        <v>30</v>
      </c>
      <c r="D63" t="s">
        <v>26</v>
      </c>
      <c r="E63" t="s">
        <v>27</v>
      </c>
      <c r="F63">
        <v>4466</v>
      </c>
      <c r="G63">
        <v>3023</v>
      </c>
      <c r="H63">
        <v>8.98</v>
      </c>
      <c r="I63">
        <v>0.75</v>
      </c>
      <c r="J63">
        <v>8.23</v>
      </c>
      <c r="K63" s="25" t="str" cm="1">
        <f t="array" ref="K63">IF(
  ISNUMBER(DATEVALUE(A63)),
  TEXT(DATEVALUE(A63),"yyyy-mm-dd"),
  IFERROR(
    TEXT(INDEX($A$2:$A$301,MATCH(1,
      ($B$2:$B$301=B63) * ($C$2:$C$301=C63) * ($D$2:$D$301=D63) * ($E$2:$E$301=E63) *
      ($F$2:$F$301=F63) * ($G$2:$G$301=G63) * ($H$2:$H$301=H63) * ($I$2:$I$301=I63) *
      ($J$2:$J$301=J63),0)),"yyyy-mm-dd"),
    "Perlu Klarifikasi"
  )
)</f>
        <v>2024-01-15</v>
      </c>
      <c r="L63" t="str" cm="1">
        <f t="array" ref="L63">IF(
  E63&lt;&gt;"Evening",
  E63,
  IFERROR(
    INDEX($E$2:$E$301, SMALL(
      IF(
        ($B$2:$B$301=B63) * ($C$2:$C$301=C63) * ($D$2:$D$301=D63) *
        ($F$2:$F$301=F63) * ($G$2:$G$301=G63) * ($H$2:$H$301=H63) * ($I$2:$I$301=I63) *
        ($J$2:$J$301=J63) * ($K$2:$K$301=K63) * ($E$2:$E$301&lt;&gt;"Evening"),
        ROW($E$2:$E$301)-ROW($E$2)+1,
        ""
      ),
    1)),
    "Night"
  )
)</f>
        <v>Day</v>
      </c>
    </row>
    <row r="64" spans="1:12" x14ac:dyDescent="0.3">
      <c r="A64" s="25" t="s">
        <v>46</v>
      </c>
      <c r="B64" t="s">
        <v>29</v>
      </c>
      <c r="C64" t="s">
        <v>21</v>
      </c>
      <c r="D64" t="s">
        <v>31</v>
      </c>
      <c r="E64" t="s">
        <v>27</v>
      </c>
      <c r="F64" s="22">
        <f>F68</f>
        <v>7864</v>
      </c>
      <c r="G64">
        <v>4876</v>
      </c>
      <c r="H64">
        <v>6.23</v>
      </c>
      <c r="I64">
        <v>1.01</v>
      </c>
      <c r="J64">
        <v>5.22</v>
      </c>
      <c r="K64" s="25" t="str" cm="1">
        <f t="array" ref="K64">IF(
  ISNUMBER(DATEVALUE(A64)),
  TEXT(DATEVALUE(A64),"yyyy-mm-dd"),
  IFERROR(
    TEXT(INDEX($A$2:$A$301,MATCH(1,
      ($B$2:$B$301=B64) * ($C$2:$C$301=C64) * ($D$2:$D$301=D64) * ($E$2:$E$301=E64) *
      ($F$2:$F$301=F64) * ($G$2:$G$301=G64) * ($H$2:$H$301=H64) * ($I$2:$I$301=I64) *
      ($J$2:$J$301=J64),0)),"yyyy-mm-dd"),
    "Perlu Klarifikasi"
  )
)</f>
        <v>2024-01-15</v>
      </c>
      <c r="L64" t="str" cm="1">
        <f t="array" ref="L64">IF(
  E64&lt;&gt;"Evening",
  E64,
  IFERROR(
    INDEX($E$2:$E$301, SMALL(
      IF(
        ($B$2:$B$301=B64) * ($C$2:$C$301=C64) * ($D$2:$D$301=D64) *
        ($F$2:$F$301=F64) * ($G$2:$G$301=G64) * ($H$2:$H$301=H64) * ($I$2:$I$301=I64) *
        ($J$2:$J$301=J64) * ($K$2:$K$301=K64) * ($E$2:$E$301&lt;&gt;"Evening"),
        ROW($E$2:$E$301)-ROW($E$2)+1,
        ""
      ),
    1)),
    "Night"
  )
)</f>
        <v>Day</v>
      </c>
    </row>
    <row r="65" spans="1:12" x14ac:dyDescent="0.3">
      <c r="A65" s="25" t="s">
        <v>46</v>
      </c>
      <c r="B65" t="s">
        <v>20</v>
      </c>
      <c r="C65" t="s">
        <v>21</v>
      </c>
      <c r="D65" t="s">
        <v>31</v>
      </c>
      <c r="E65" t="s">
        <v>23</v>
      </c>
      <c r="F65" s="22">
        <f>F63</f>
        <v>4466</v>
      </c>
      <c r="G65">
        <v>4358</v>
      </c>
      <c r="H65">
        <v>6.25</v>
      </c>
      <c r="I65">
        <v>0.94</v>
      </c>
      <c r="J65">
        <v>5.31</v>
      </c>
      <c r="K65" s="25" t="str" cm="1">
        <f t="array" ref="K65">IF(
  ISNUMBER(DATEVALUE(A65)),
  TEXT(DATEVALUE(A65),"yyyy-mm-dd"),
  IFERROR(
    TEXT(INDEX($A$2:$A$301,MATCH(1,
      ($B$2:$B$301=B65) * ($C$2:$C$301=C65) * ($D$2:$D$301=D65) * ($E$2:$E$301=E65) *
      ($F$2:$F$301=F65) * ($G$2:$G$301=G65) * ($H$2:$H$301=H65) * ($I$2:$I$301=I65) *
      ($J$2:$J$301=J65),0)),"yyyy-mm-dd"),
    "Perlu Klarifikasi"
  )
)</f>
        <v>2024-01-15</v>
      </c>
      <c r="L65" t="str" cm="1">
        <f t="array" ref="L65">IF(
  E65&lt;&gt;"Evening",
  E65,
  IFERROR(
    INDEX($E$2:$E$301, SMALL(
      IF(
        ($B$2:$B$301=B65) * ($C$2:$C$301=C65) * ($D$2:$D$301=D65) *
        ($F$2:$F$301=F65) * ($G$2:$G$301=G65) * ($H$2:$H$301=H65) * ($I$2:$I$301=I65) *
        ($J$2:$J$301=J65) * ($K$2:$K$301=K65) * ($E$2:$E$301&lt;&gt;"Evening"),
        ROW($E$2:$E$301)-ROW($E$2)+1,
        ""
      ),
    1)),
    "Night"
  )
)</f>
        <v>Night</v>
      </c>
    </row>
    <row r="66" spans="1:12" x14ac:dyDescent="0.3">
      <c r="A66" s="25" t="s">
        <v>46</v>
      </c>
      <c r="B66" t="s">
        <v>20</v>
      </c>
      <c r="C66" t="s">
        <v>30</v>
      </c>
      <c r="D66" t="s">
        <v>26</v>
      </c>
      <c r="E66" s="22" t="s">
        <v>32</v>
      </c>
      <c r="F66">
        <v>4466</v>
      </c>
      <c r="G66">
        <v>3023</v>
      </c>
      <c r="H66">
        <v>8.98</v>
      </c>
      <c r="I66">
        <v>0.75</v>
      </c>
      <c r="J66">
        <v>8.23</v>
      </c>
      <c r="K66" s="25" t="str" cm="1">
        <f t="array" ref="K66">IF(
  ISNUMBER(DATEVALUE(A66)),
  TEXT(DATEVALUE(A66),"yyyy-mm-dd"),
  IFERROR(
    TEXT(INDEX($A$2:$A$301,MATCH(1,
      ($B$2:$B$301=B66) * ($C$2:$C$301=C66) * ($D$2:$D$301=D66) * ($E$2:$E$301=E66) *
      ($F$2:$F$301=F66) * ($G$2:$G$301=G66) * ($H$2:$H$301=H66) * ($I$2:$I$301=I66) *
      ($J$2:$J$301=J66),0)),"yyyy-mm-dd"),
    "Perlu Klarifikasi"
  )
)</f>
        <v>2024-01-15</v>
      </c>
      <c r="L66" t="str" cm="1">
        <f t="array" ref="L66">IF(
  E66&lt;&gt;"Evening",
  E66,
  IFERROR(
    INDEX($E$2:$E$301, SMALL(
      IF(
        ($B$2:$B$301=B66) * ($C$2:$C$301=C66) * ($D$2:$D$301=D66) *
        ($F$2:$F$301=F66) * ($G$2:$G$301=G66) * ($H$2:$H$301=H66) * ($I$2:$I$301=I66) *
        ($J$2:$J$301=J66) * ($K$2:$K$301=K66) * ($E$2:$E$301&lt;&gt;"Evening"),
        ROW($E$2:$E$301)-ROW($E$2)+1,
        ""
      ),
    1)),
    "Night"
  )
)</f>
        <v>Day</v>
      </c>
    </row>
    <row r="67" spans="1:12" x14ac:dyDescent="0.3">
      <c r="A67" s="26" t="s">
        <v>52</v>
      </c>
      <c r="B67" t="s">
        <v>29</v>
      </c>
      <c r="C67" t="s">
        <v>21</v>
      </c>
      <c r="D67" t="s">
        <v>26</v>
      </c>
      <c r="E67" t="s">
        <v>27</v>
      </c>
      <c r="F67">
        <v>4629</v>
      </c>
      <c r="G67">
        <v>6379</v>
      </c>
      <c r="H67">
        <v>6.26</v>
      </c>
      <c r="I67">
        <v>1.64</v>
      </c>
      <c r="J67">
        <v>4.62</v>
      </c>
      <c r="K67" s="25" t="str" cm="1">
        <f t="array" ref="K67">IF(
  ISNUMBER(DATEVALUE(A67)),
  TEXT(DATEVALUE(A67),"yyyy-mm-dd"),
  IFERROR(
    TEXT(INDEX($A$2:$A$301,MATCH(1,
      ($B$2:$B$301=B67) * ($C$2:$C$301=C67) * ($D$2:$D$301=D67) * ($E$2:$E$301=E67) *
      ($F$2:$F$301=F67) * ($G$2:$G$301=G67) * ($H$2:$H$301=H67) * ($I$2:$I$301=I67) *
      ($J$2:$J$301=J67),0)),"yyyy-mm-dd"),
    "Perlu Klarifikasi"
  )
)</f>
        <v>2024-01-15</v>
      </c>
      <c r="L67" t="str" cm="1">
        <f t="array" ref="L67">IF(
  E67&lt;&gt;"Evening",
  E67,
  IFERROR(
    INDEX($E$2:$E$301, SMALL(
      IF(
        ($B$2:$B$301=B67) * ($C$2:$C$301=C67) * ($D$2:$D$301=D67) *
        ($F$2:$F$301=F67) * ($G$2:$G$301=G67) * ($H$2:$H$301=H67) * ($I$2:$I$301=I67) *
        ($J$2:$J$301=J67) * ($K$2:$K$301=K67) * ($E$2:$E$301&lt;&gt;"Evening"),
        ROW($E$2:$E$301)-ROW($E$2)+1,
        ""
      ),
    1)),
    "Night"
  )
)</f>
        <v>Day</v>
      </c>
    </row>
    <row r="68" spans="1:12" x14ac:dyDescent="0.3">
      <c r="A68" s="25" t="s">
        <v>46</v>
      </c>
      <c r="B68" t="s">
        <v>29</v>
      </c>
      <c r="C68" t="s">
        <v>21</v>
      </c>
      <c r="D68" t="s">
        <v>31</v>
      </c>
      <c r="E68" t="s">
        <v>27</v>
      </c>
      <c r="F68">
        <v>7864</v>
      </c>
      <c r="G68">
        <v>4876</v>
      </c>
      <c r="H68">
        <v>6.23</v>
      </c>
      <c r="I68">
        <v>1.01</v>
      </c>
      <c r="J68">
        <v>5.22</v>
      </c>
      <c r="K68" s="25" t="str" cm="1">
        <f t="array" ref="K68">IF(
  ISNUMBER(DATEVALUE(A68)),
  TEXT(DATEVALUE(A68),"yyyy-mm-dd"),
  IFERROR(
    TEXT(INDEX($A$2:$A$301,MATCH(1,
      ($B$2:$B$301=B68) * ($C$2:$C$301=C68) * ($D$2:$D$301=D68) * ($E$2:$E$301=E68) *
      ($F$2:$F$301=F68) * ($G$2:$G$301=G68) * ($H$2:$H$301=H68) * ($I$2:$I$301=I68) *
      ($J$2:$J$301=J68),0)),"yyyy-mm-dd"),
    "Perlu Klarifikasi"
  )
)</f>
        <v>2024-01-15</v>
      </c>
      <c r="L68" t="str" cm="1">
        <f t="array" ref="L68">IF(
  E68&lt;&gt;"Evening",
  E68,
  IFERROR(
    INDEX($E$2:$E$301, SMALL(
      IF(
        ($B$2:$B$301=B68) * ($C$2:$C$301=C68) * ($D$2:$D$301=D68) *
        ($F$2:$F$301=F68) * ($G$2:$G$301=G68) * ($H$2:$H$301=H68) * ($I$2:$I$301=I68) *
        ($J$2:$J$301=J68) * ($K$2:$K$301=K68) * ($E$2:$E$301&lt;&gt;"Evening"),
        ROW($E$2:$E$301)-ROW($E$2)+1,
        ""
      ),
    1)),
    "Night"
  )
)</f>
        <v>Day</v>
      </c>
    </row>
    <row r="69" spans="1:12" x14ac:dyDescent="0.3">
      <c r="A69" s="25" t="s">
        <v>46</v>
      </c>
      <c r="B69" t="s">
        <v>29</v>
      </c>
      <c r="C69" t="s">
        <v>21</v>
      </c>
      <c r="D69" t="s">
        <v>31</v>
      </c>
      <c r="E69" t="s">
        <v>27</v>
      </c>
      <c r="F69">
        <v>7864</v>
      </c>
      <c r="G69">
        <v>4876</v>
      </c>
      <c r="H69">
        <v>6.23</v>
      </c>
      <c r="I69">
        <v>1.01</v>
      </c>
      <c r="J69">
        <v>5.22</v>
      </c>
      <c r="K69" s="25" t="str" cm="1">
        <f t="array" ref="K69">IF(
  ISNUMBER(DATEVALUE(A69)),
  TEXT(DATEVALUE(A69),"yyyy-mm-dd"),
  IFERROR(
    TEXT(INDEX($A$2:$A$301,MATCH(1,
      ($B$2:$B$301=B69) * ($C$2:$C$301=C69) * ($D$2:$D$301=D69) * ($E$2:$E$301=E69) *
      ($F$2:$F$301=F69) * ($G$2:$G$301=G69) * ($H$2:$H$301=H69) * ($I$2:$I$301=I69) *
      ($J$2:$J$301=J69),0)),"yyyy-mm-dd"),
    "Perlu Klarifikasi"
  )
)</f>
        <v>2024-01-15</v>
      </c>
      <c r="L69" t="str" cm="1">
        <f t="array" ref="L69">IF(
  E69&lt;&gt;"Evening",
  E69,
  IFERROR(
    INDEX($E$2:$E$301, SMALL(
      IF(
        ($B$2:$B$301=B69) * ($C$2:$C$301=C69) * ($D$2:$D$301=D69) *
        ($F$2:$F$301=F69) * ($G$2:$G$301=G69) * ($H$2:$H$301=H69) * ($I$2:$I$301=I69) *
        ($J$2:$J$301=J69) * ($K$2:$K$301=K69) * ($E$2:$E$301&lt;&gt;"Evening"),
        ROW($E$2:$E$301)-ROW($E$2)+1,
        ""
      ),
    1)),
    "Night"
  )
)</f>
        <v>Day</v>
      </c>
    </row>
    <row r="70" spans="1:12" x14ac:dyDescent="0.3">
      <c r="A70" s="25" t="s">
        <v>70</v>
      </c>
      <c r="B70" t="s">
        <v>34</v>
      </c>
      <c r="C70" t="s">
        <v>25</v>
      </c>
      <c r="D70" t="s">
        <v>26</v>
      </c>
      <c r="E70" t="s">
        <v>27</v>
      </c>
      <c r="F70">
        <v>4108</v>
      </c>
      <c r="G70">
        <v>4099</v>
      </c>
      <c r="H70">
        <v>9.24</v>
      </c>
      <c r="I70">
        <v>1.82</v>
      </c>
      <c r="J70">
        <v>7.42</v>
      </c>
      <c r="K70" s="25" t="str" cm="1">
        <f t="array" ref="K70">IF(
  ISNUMBER(DATEVALUE(A70)),
  TEXT(DATEVALUE(A70),"yyyy-mm-dd"),
  IFERROR(
    TEXT(INDEX($A$2:$A$301,MATCH(1,
      ($B$2:$B$301=B70) * ($C$2:$C$301=C70) * ($D$2:$D$301=D70) * ($E$2:$E$301=E70) *
      ($F$2:$F$301=F70) * ($G$2:$G$301=G70) * ($H$2:$H$301=H70) * ($I$2:$I$301=I70) *
      ($J$2:$J$301=J70),0)),"yyyy-mm-dd"),
    "Perlu Klarifikasi"
  )
)</f>
        <v>2024-01-16</v>
      </c>
      <c r="L70" t="str" cm="1">
        <f t="array" ref="L70">IF(
  E70&lt;&gt;"Evening",
  E70,
  IFERROR(
    INDEX($E$2:$E$301, SMALL(
      IF(
        ($B$2:$B$301=B70) * ($C$2:$C$301=C70) * ($D$2:$D$301=D70) *
        ($F$2:$F$301=F70) * ($G$2:$G$301=G70) * ($H$2:$H$301=H70) * ($I$2:$I$301=I70) *
        ($J$2:$J$301=J70) * ($K$2:$K$301=K70) * ($E$2:$E$301&lt;&gt;"Evening"),
        ROW($E$2:$E$301)-ROW($E$2)+1,
        ""
      ),
    1)),
    "Night"
  )
)</f>
        <v>Day</v>
      </c>
    </row>
    <row r="71" spans="1:12" x14ac:dyDescent="0.3">
      <c r="A71" s="25" t="s">
        <v>70</v>
      </c>
      <c r="B71" t="s">
        <v>34</v>
      </c>
      <c r="C71" t="s">
        <v>25</v>
      </c>
      <c r="D71" t="s">
        <v>26</v>
      </c>
      <c r="E71" t="s">
        <v>27</v>
      </c>
      <c r="F71">
        <v>4108</v>
      </c>
      <c r="G71">
        <v>4099</v>
      </c>
      <c r="H71">
        <v>9.24</v>
      </c>
      <c r="I71">
        <v>1.82</v>
      </c>
      <c r="J71">
        <v>7.42</v>
      </c>
      <c r="K71" s="25" t="str" cm="1">
        <f t="array" ref="K71">IF(
  ISNUMBER(DATEVALUE(A71)),
  TEXT(DATEVALUE(A71),"yyyy-mm-dd"),
  IFERROR(
    TEXT(INDEX($A$2:$A$301,MATCH(1,
      ($B$2:$B$301=B71) * ($C$2:$C$301=C71) * ($D$2:$D$301=D71) * ($E$2:$E$301=E71) *
      ($F$2:$F$301=F71) * ($G$2:$G$301=G71) * ($H$2:$H$301=H71) * ($I$2:$I$301=I71) *
      ($J$2:$J$301=J71),0)),"yyyy-mm-dd"),
    "Perlu Klarifikasi"
  )
)</f>
        <v>2024-01-16</v>
      </c>
      <c r="L71" t="str" cm="1">
        <f t="array" ref="L71">IF(
  E71&lt;&gt;"Evening",
  E71,
  IFERROR(
    INDEX($E$2:$E$301, SMALL(
      IF(
        ($B$2:$B$301=B71) * ($C$2:$C$301=C71) * ($D$2:$D$301=D71) *
        ($F$2:$F$301=F71) * ($G$2:$G$301=G71) * ($H$2:$H$301=H71) * ($I$2:$I$301=I71) *
        ($J$2:$J$301=J71) * ($K$2:$K$301=K71) * ($E$2:$E$301&lt;&gt;"Evening"),
        ROW($E$2:$E$301)-ROW($E$2)+1,
        ""
      ),
    1)),
    "Night"
  )
)</f>
        <v>Day</v>
      </c>
    </row>
    <row r="72" spans="1:12" x14ac:dyDescent="0.3">
      <c r="A72" s="25" t="s">
        <v>70</v>
      </c>
      <c r="B72" t="s">
        <v>34</v>
      </c>
      <c r="C72" t="s">
        <v>25</v>
      </c>
      <c r="D72" t="s">
        <v>26</v>
      </c>
      <c r="E72" t="s">
        <v>27</v>
      </c>
      <c r="F72">
        <v>4108</v>
      </c>
      <c r="G72">
        <v>4099</v>
      </c>
      <c r="H72">
        <v>9.24</v>
      </c>
      <c r="I72">
        <v>1.82</v>
      </c>
      <c r="J72">
        <v>7.42</v>
      </c>
      <c r="K72" s="25" t="str" cm="1">
        <f t="array" ref="K72">IF(
  ISNUMBER(DATEVALUE(A72)),
  TEXT(DATEVALUE(A72),"yyyy-mm-dd"),
  IFERROR(
    TEXT(INDEX($A$2:$A$301,MATCH(1,
      ($B$2:$B$301=B72) * ($C$2:$C$301=C72) * ($D$2:$D$301=D72) * ($E$2:$E$301=E72) *
      ($F$2:$F$301=F72) * ($G$2:$G$301=G72) * ($H$2:$H$301=H72) * ($I$2:$I$301=I72) *
      ($J$2:$J$301=J72),0)),"yyyy-mm-dd"),
    "Perlu Klarifikasi"
  )
)</f>
        <v>2024-01-16</v>
      </c>
      <c r="L72" t="str" cm="1">
        <f t="array" ref="L72">IF(
  E72&lt;&gt;"Evening",
  E72,
  IFERROR(
    INDEX($E$2:$E$301, SMALL(
      IF(
        ($B$2:$B$301=B72) * ($C$2:$C$301=C72) * ($D$2:$D$301=D72) *
        ($F$2:$F$301=F72) * ($G$2:$G$301=G72) * ($H$2:$H$301=H72) * ($I$2:$I$301=I72) *
        ($J$2:$J$301=J72) * ($K$2:$K$301=K72) * ($E$2:$E$301&lt;&gt;"Evening"),
        ROW($E$2:$E$301)-ROW($E$2)+1,
        ""
      ),
    1)),
    "Night"
  )
)</f>
        <v>Day</v>
      </c>
    </row>
    <row r="73" spans="1:12" x14ac:dyDescent="0.3">
      <c r="A73" s="25" t="s">
        <v>70</v>
      </c>
      <c r="B73" t="s">
        <v>34</v>
      </c>
      <c r="C73" t="s">
        <v>25</v>
      </c>
      <c r="D73" t="s">
        <v>26</v>
      </c>
      <c r="E73" t="s">
        <v>27</v>
      </c>
      <c r="F73">
        <v>4108</v>
      </c>
      <c r="G73">
        <v>4099</v>
      </c>
      <c r="H73">
        <v>9.24</v>
      </c>
      <c r="I73">
        <v>1.82</v>
      </c>
      <c r="J73">
        <v>7.42</v>
      </c>
      <c r="K73" s="25" t="str" cm="1">
        <f t="array" ref="K73">IF(
  ISNUMBER(DATEVALUE(A73)),
  TEXT(DATEVALUE(A73),"yyyy-mm-dd"),
  IFERROR(
    TEXT(INDEX($A$2:$A$301,MATCH(1,
      ($B$2:$B$301=B73) * ($C$2:$C$301=C73) * ($D$2:$D$301=D73) * ($E$2:$E$301=E73) *
      ($F$2:$F$301=F73) * ($G$2:$G$301=G73) * ($H$2:$H$301=H73) * ($I$2:$I$301=I73) *
      ($J$2:$J$301=J73),0)),"yyyy-mm-dd"),
    "Perlu Klarifikasi"
  )
)</f>
        <v>2024-01-16</v>
      </c>
      <c r="L73" t="str" cm="1">
        <f t="array" ref="L73">IF(
  E73&lt;&gt;"Evening",
  E73,
  IFERROR(
    INDEX($E$2:$E$301, SMALL(
      IF(
        ($B$2:$B$301=B73) * ($C$2:$C$301=C73) * ($D$2:$D$301=D73) *
        ($F$2:$F$301=F73) * ($G$2:$G$301=G73) * ($H$2:$H$301=H73) * ($I$2:$I$301=I73) *
        ($J$2:$J$301=J73) * ($K$2:$K$301=K73) * ($E$2:$E$301&lt;&gt;"Evening"),
        ROW($E$2:$E$301)-ROW($E$2)+1,
        ""
      ),
    1)),
    "Night"
  )
)</f>
        <v>Day</v>
      </c>
    </row>
    <row r="74" spans="1:12" x14ac:dyDescent="0.3">
      <c r="A74" s="25" t="s">
        <v>57</v>
      </c>
      <c r="B74" t="s">
        <v>29</v>
      </c>
      <c r="C74" t="s">
        <v>25</v>
      </c>
      <c r="D74" t="s">
        <v>22</v>
      </c>
      <c r="E74" t="s">
        <v>23</v>
      </c>
      <c r="F74">
        <v>503</v>
      </c>
      <c r="G74">
        <v>3033</v>
      </c>
      <c r="H74">
        <v>7.33</v>
      </c>
      <c r="I74">
        <v>0.73</v>
      </c>
      <c r="J74">
        <v>6.6</v>
      </c>
      <c r="K74" s="25" t="str" cm="1">
        <f t="array" ref="K74">IF(
  ISNUMBER(DATEVALUE(A74)),
  TEXT(DATEVALUE(A74),"yyyy-mm-dd"),
  IFERROR(
    TEXT(INDEX($A$2:$A$301,MATCH(1,
      ($B$2:$B$301=B74) * ($C$2:$C$301=C74) * ($D$2:$D$301=D74) * ($E$2:$E$301=E74) *
      ($F$2:$F$301=F74) * ($G$2:$G$301=G74) * ($H$2:$H$301=H74) * ($I$2:$I$301=I74) *
      ($J$2:$J$301=J74),0)),"yyyy-mm-dd"),
    "Perlu Klarifikasi"
  )
)</f>
        <v>2024-01-17</v>
      </c>
      <c r="L74" t="str" cm="1">
        <f t="array" ref="L74">IF(
  E74&lt;&gt;"Evening",
  E74,
  IFERROR(
    INDEX($E$2:$E$301, SMALL(
      IF(
        ($B$2:$B$301=B74) * ($C$2:$C$301=C74) * ($D$2:$D$301=D74) *
        ($F$2:$F$301=F74) * ($G$2:$G$301=G74) * ($H$2:$H$301=H74) * ($I$2:$I$301=I74) *
        ($J$2:$J$301=J74) * ($K$2:$K$301=K74) * ($E$2:$E$301&lt;&gt;"Evening"),
        ROW($E$2:$E$301)-ROW($E$2)+1,
        ""
      ),
    1)),
    "Night"
  )
)</f>
        <v>Night</v>
      </c>
    </row>
    <row r="75" spans="1:12" x14ac:dyDescent="0.3">
      <c r="A75" s="25" t="s">
        <v>57</v>
      </c>
      <c r="B75" t="s">
        <v>29</v>
      </c>
      <c r="C75" s="22" t="str" cm="1">
        <f t="array" ref="C75">IF(
  Produksi!C71&lt;&gt;"",
  Produksi!C71,
  IFERROR(
    INDEX($C$2:$C$301, MATCH(1,
      ($B$2:$B$301=Produksi!B71) * ($D$2:$D$301=Produksi!D71) * ($E$2:$E$301=Produksi!E71) * ($F$2:$F$301=Produksi!F71),
      0)),
    "Perlu Klarifikasi")
)</f>
        <v>Seam 2</v>
      </c>
      <c r="D75" t="s">
        <v>22</v>
      </c>
      <c r="E75" t="s">
        <v>23</v>
      </c>
      <c r="F75">
        <v>503</v>
      </c>
      <c r="G75">
        <v>3033</v>
      </c>
      <c r="H75">
        <v>7.33</v>
      </c>
      <c r="I75">
        <v>0.73</v>
      </c>
      <c r="J75">
        <v>6.6</v>
      </c>
      <c r="K75" s="25" t="str" cm="1">
        <f t="array" ref="K75">IF(
  ISNUMBER(DATEVALUE(A75)),
  TEXT(DATEVALUE(A75),"yyyy-mm-dd"),
  IFERROR(
    TEXT(INDEX($A$2:$A$301,MATCH(1,
      ($B$2:$B$301=B75) * ($C$2:$C$301=C75) * ($D$2:$D$301=D75) * ($E$2:$E$301=E75) *
      ($F$2:$F$301=F75) * ($G$2:$G$301=G75) * ($H$2:$H$301=H75) * ($I$2:$I$301=I75) *
      ($J$2:$J$301=J75),0)),"yyyy-mm-dd"),
    "Perlu Klarifikasi"
  )
)</f>
        <v>2024-01-17</v>
      </c>
      <c r="L75" t="str" cm="1">
        <f t="array" ref="L75">IF(
  E75&lt;&gt;"Evening",
  E75,
  IFERROR(
    INDEX($E$2:$E$301, SMALL(
      IF(
        ($B$2:$B$301=B75) * ($C$2:$C$301=C75) * ($D$2:$D$301=D75) *
        ($F$2:$F$301=F75) * ($G$2:$G$301=G75) * ($H$2:$H$301=H75) * ($I$2:$I$301=I75) *
        ($J$2:$J$301=J75) * ($K$2:$K$301=K75) * ($E$2:$E$301&lt;&gt;"Evening"),
        ROW($E$2:$E$301)-ROW($E$2)+1,
        ""
      ),
    1)),
    "Night"
  )
)</f>
        <v>Night</v>
      </c>
    </row>
    <row r="76" spans="1:12" x14ac:dyDescent="0.3">
      <c r="A76" s="25" t="s">
        <v>57</v>
      </c>
      <c r="B76" t="s">
        <v>29</v>
      </c>
      <c r="C76" t="s">
        <v>25</v>
      </c>
      <c r="D76" t="s">
        <v>22</v>
      </c>
      <c r="E76" t="s">
        <v>23</v>
      </c>
      <c r="F76">
        <v>503</v>
      </c>
      <c r="G76">
        <v>3033</v>
      </c>
      <c r="H76">
        <v>7.33</v>
      </c>
      <c r="I76">
        <v>0.73</v>
      </c>
      <c r="J76">
        <v>6.6</v>
      </c>
      <c r="K76" s="25" t="str" cm="1">
        <f t="array" ref="K76">IF(
  ISNUMBER(DATEVALUE(A76)),
  TEXT(DATEVALUE(A76),"yyyy-mm-dd"),
  IFERROR(
    TEXT(INDEX($A$2:$A$301,MATCH(1,
      ($B$2:$B$301=B76) * ($C$2:$C$301=C76) * ($D$2:$D$301=D76) * ($E$2:$E$301=E76) *
      ($F$2:$F$301=F76) * ($G$2:$G$301=G76) * ($H$2:$H$301=H76) * ($I$2:$I$301=I76) *
      ($J$2:$J$301=J76),0)),"yyyy-mm-dd"),
    "Perlu Klarifikasi"
  )
)</f>
        <v>2024-01-17</v>
      </c>
      <c r="L76" t="str" cm="1">
        <f t="array" ref="L76">IF(
  E76&lt;&gt;"Evening",
  E76,
  IFERROR(
    INDEX($E$2:$E$301, SMALL(
      IF(
        ($B$2:$B$301=B76) * ($C$2:$C$301=C76) * ($D$2:$D$301=D76) *
        ($F$2:$F$301=F76) * ($G$2:$G$301=G76) * ($H$2:$H$301=H76) * ($I$2:$I$301=I76) *
        ($J$2:$J$301=J76) * ($K$2:$K$301=K76) * ($E$2:$E$301&lt;&gt;"Evening"),
        ROW($E$2:$E$301)-ROW($E$2)+1,
        ""
      ),
    1)),
    "Night"
  )
)</f>
        <v>Night</v>
      </c>
    </row>
    <row r="77" spans="1:12" x14ac:dyDescent="0.3">
      <c r="A77" s="25" t="s">
        <v>57</v>
      </c>
      <c r="B77" t="s">
        <v>29</v>
      </c>
      <c r="C77" t="s">
        <v>21</v>
      </c>
      <c r="D77" t="s">
        <v>31</v>
      </c>
      <c r="E77" t="s">
        <v>27</v>
      </c>
      <c r="F77">
        <v>8658</v>
      </c>
      <c r="G77">
        <v>999</v>
      </c>
      <c r="H77">
        <v>8.5399999999999991</v>
      </c>
      <c r="I77">
        <v>1.89</v>
      </c>
      <c r="J77">
        <v>6.65</v>
      </c>
      <c r="K77" s="25" t="str" cm="1">
        <f t="array" ref="K77">IF(
  ISNUMBER(DATEVALUE(A77)),
  TEXT(DATEVALUE(A77),"yyyy-mm-dd"),
  IFERROR(
    TEXT(INDEX($A$2:$A$301,MATCH(1,
      ($B$2:$B$301=B77) * ($C$2:$C$301=C77) * ($D$2:$D$301=D77) * ($E$2:$E$301=E77) *
      ($F$2:$F$301=F77) * ($G$2:$G$301=G77) * ($H$2:$H$301=H77) * ($I$2:$I$301=I77) *
      ($J$2:$J$301=J77),0)),"yyyy-mm-dd"),
    "Perlu Klarifikasi"
  )
)</f>
        <v>2024-01-17</v>
      </c>
      <c r="L77" t="str" cm="1">
        <f t="array" ref="L77">IF(
  E77&lt;&gt;"Evening",
  E77,
  IFERROR(
    INDEX($E$2:$E$301, SMALL(
      IF(
        ($B$2:$B$301=B77) * ($C$2:$C$301=C77) * ($D$2:$D$301=D77) *
        ($F$2:$F$301=F77) * ($G$2:$G$301=G77) * ($H$2:$H$301=H77) * ($I$2:$I$301=I77) *
        ($J$2:$J$301=J77) * ($K$2:$K$301=K77) * ($E$2:$E$301&lt;&gt;"Evening"),
        ROW($E$2:$E$301)-ROW($E$2)+1,
        ""
      ),
    1)),
    "Night"
  )
)</f>
        <v>Day</v>
      </c>
    </row>
    <row r="78" spans="1:12" x14ac:dyDescent="0.3">
      <c r="A78" s="25" t="s">
        <v>57</v>
      </c>
      <c r="B78" t="s">
        <v>29</v>
      </c>
      <c r="C78" t="s">
        <v>25</v>
      </c>
      <c r="D78" t="s">
        <v>22</v>
      </c>
      <c r="E78" t="s">
        <v>23</v>
      </c>
      <c r="F78">
        <v>503</v>
      </c>
      <c r="G78">
        <v>3033</v>
      </c>
      <c r="H78">
        <v>7.33</v>
      </c>
      <c r="I78">
        <v>0.73</v>
      </c>
      <c r="J78">
        <v>6.6</v>
      </c>
      <c r="K78" s="25" t="str" cm="1">
        <f t="array" ref="K78">IF(
  ISNUMBER(DATEVALUE(A78)),
  TEXT(DATEVALUE(A78),"yyyy-mm-dd"),
  IFERROR(
    TEXT(INDEX($A$2:$A$301,MATCH(1,
      ($B$2:$B$301=B78) * ($C$2:$C$301=C78) * ($D$2:$D$301=D78) * ($E$2:$E$301=E78) *
      ($F$2:$F$301=F78) * ($G$2:$G$301=G78) * ($H$2:$H$301=H78) * ($I$2:$I$301=I78) *
      ($J$2:$J$301=J78),0)),"yyyy-mm-dd"),
    "Perlu Klarifikasi"
  )
)</f>
        <v>2024-01-17</v>
      </c>
      <c r="L78" t="str" cm="1">
        <f t="array" ref="L78">IF(
  E78&lt;&gt;"Evening",
  E78,
  IFERROR(
    INDEX($E$2:$E$301, SMALL(
      IF(
        ($B$2:$B$301=B78) * ($C$2:$C$301=C78) * ($D$2:$D$301=D78) *
        ($F$2:$F$301=F78) * ($G$2:$G$301=G78) * ($H$2:$H$301=H78) * ($I$2:$I$301=I78) *
        ($J$2:$J$301=J78) * ($K$2:$K$301=K78) * ($E$2:$E$301&lt;&gt;"Evening"),
        ROW($E$2:$E$301)-ROW($E$2)+1,
        ""
      ),
    1)),
    "Night"
  )
)</f>
        <v>Night</v>
      </c>
    </row>
    <row r="79" spans="1:12" x14ac:dyDescent="0.3">
      <c r="A79" s="25" t="s">
        <v>57</v>
      </c>
      <c r="B79" t="s">
        <v>29</v>
      </c>
      <c r="C79" t="s">
        <v>21</v>
      </c>
      <c r="D79" t="s">
        <v>31</v>
      </c>
      <c r="E79" t="s">
        <v>27</v>
      </c>
      <c r="F79">
        <v>8658</v>
      </c>
      <c r="G79">
        <v>999</v>
      </c>
      <c r="H79">
        <v>8.5399999999999991</v>
      </c>
      <c r="I79">
        <v>1.89</v>
      </c>
      <c r="J79">
        <v>6.65</v>
      </c>
      <c r="K79" s="25" t="str" cm="1">
        <f t="array" ref="K79">IF(
  ISNUMBER(DATEVALUE(A79)),
  TEXT(DATEVALUE(A79),"yyyy-mm-dd"),
  IFERROR(
    TEXT(INDEX($A$2:$A$301,MATCH(1,
      ($B$2:$B$301=B79) * ($C$2:$C$301=C79) * ($D$2:$D$301=D79) * ($E$2:$E$301=E79) *
      ($F$2:$F$301=F79) * ($G$2:$G$301=G79) * ($H$2:$H$301=H79) * ($I$2:$I$301=I79) *
      ($J$2:$J$301=J79),0)),"yyyy-mm-dd"),
    "Perlu Klarifikasi"
  )
)</f>
        <v>2024-01-17</v>
      </c>
      <c r="L79" t="str" cm="1">
        <f t="array" ref="L79">IF(
  E79&lt;&gt;"Evening",
  E79,
  IFERROR(
    INDEX($E$2:$E$301, SMALL(
      IF(
        ($B$2:$B$301=B79) * ($C$2:$C$301=C79) * ($D$2:$D$301=D79) *
        ($F$2:$F$301=F79) * ($G$2:$G$301=G79) * ($H$2:$H$301=H79) * ($I$2:$I$301=I79) *
        ($J$2:$J$301=J79) * ($K$2:$K$301=K79) * ($E$2:$E$301&lt;&gt;"Evening"),
        ROW($E$2:$E$301)-ROW($E$2)+1,
        ""
      ),
    1)),
    "Night"
  )
)</f>
        <v>Day</v>
      </c>
    </row>
    <row r="80" spans="1:12" x14ac:dyDescent="0.3">
      <c r="A80" s="25" t="s">
        <v>80</v>
      </c>
      <c r="B80" t="s">
        <v>29</v>
      </c>
      <c r="C80" t="s">
        <v>30</v>
      </c>
      <c r="D80" t="s">
        <v>31</v>
      </c>
      <c r="E80" t="s">
        <v>27</v>
      </c>
      <c r="F80">
        <v>2292</v>
      </c>
      <c r="G80">
        <v>254</v>
      </c>
      <c r="H80">
        <v>5.83</v>
      </c>
      <c r="I80">
        <v>1.8</v>
      </c>
      <c r="J80">
        <v>4.03</v>
      </c>
      <c r="K80" s="25" t="str" cm="1">
        <f t="array" ref="K80">IF(
  ISNUMBER(DATEVALUE(A80)),
  TEXT(DATEVALUE(A80),"yyyy-mm-dd"),
  IFERROR(
    TEXT(INDEX($A$2:$A$301,MATCH(1,
      ($B$2:$B$301=B80) * ($C$2:$C$301=C80) * ($D$2:$D$301=D80) * ($E$2:$E$301=E80) *
      ($F$2:$F$301=F80) * ($G$2:$G$301=G80) * ($H$2:$H$301=H80) * ($I$2:$I$301=I80) *
      ($J$2:$J$301=J80),0)),"yyyy-mm-dd"),
    "Perlu Klarifikasi"
  )
)</f>
        <v>2024-01-18</v>
      </c>
      <c r="L80" t="str" cm="1">
        <f t="array" ref="L80">IF(
  E80&lt;&gt;"Evening",
  E80,
  IFERROR(
    INDEX($E$2:$E$301, SMALL(
      IF(
        ($B$2:$B$301=B80) * ($C$2:$C$301=C80) * ($D$2:$D$301=D80) *
        ($F$2:$F$301=F80) * ($G$2:$G$301=G80) * ($H$2:$H$301=H80) * ($I$2:$I$301=I80) *
        ($J$2:$J$301=J80) * ($K$2:$K$301=K80) * ($E$2:$E$301&lt;&gt;"Evening"),
        ROW($E$2:$E$301)-ROW($E$2)+1,
        ""
      ),
    1)),
    "Night"
  )
)</f>
        <v>Day</v>
      </c>
    </row>
    <row r="81" spans="1:12" x14ac:dyDescent="0.3">
      <c r="A81" s="25" t="s">
        <v>80</v>
      </c>
      <c r="B81" t="s">
        <v>20</v>
      </c>
      <c r="C81" t="s">
        <v>25</v>
      </c>
      <c r="D81" t="s">
        <v>26</v>
      </c>
      <c r="E81" t="s">
        <v>27</v>
      </c>
      <c r="F81">
        <v>6094</v>
      </c>
      <c r="G81">
        <v>6929</v>
      </c>
      <c r="H81">
        <v>5.72</v>
      </c>
      <c r="I81">
        <v>0.89</v>
      </c>
      <c r="J81">
        <v>4.83</v>
      </c>
      <c r="K81" s="25" t="str" cm="1">
        <f t="array" ref="K81">IF(
  ISNUMBER(DATEVALUE(A81)),
  TEXT(DATEVALUE(A81),"yyyy-mm-dd"),
  IFERROR(
    TEXT(INDEX($A$2:$A$301,MATCH(1,
      ($B$2:$B$301=B81) * ($C$2:$C$301=C81) * ($D$2:$D$301=D81) * ($E$2:$E$301=E81) *
      ($F$2:$F$301=F81) * ($G$2:$G$301=G81) * ($H$2:$H$301=H81) * ($I$2:$I$301=I81) *
      ($J$2:$J$301=J81),0)),"yyyy-mm-dd"),
    "Perlu Klarifikasi"
  )
)</f>
        <v>2024-01-18</v>
      </c>
      <c r="L81" t="str" cm="1">
        <f t="array" ref="L81">IF(
  E81&lt;&gt;"Evening",
  E81,
  IFERROR(
    INDEX($E$2:$E$301, SMALL(
      IF(
        ($B$2:$B$301=B81) * ($C$2:$C$301=C81) * ($D$2:$D$301=D81) *
        ($F$2:$F$301=F81) * ($G$2:$G$301=G81) * ($H$2:$H$301=H81) * ($I$2:$I$301=I81) *
        ($J$2:$J$301=J81) * ($K$2:$K$301=K81) * ($E$2:$E$301&lt;&gt;"Evening"),
        ROW($E$2:$E$301)-ROW($E$2)+1,
        ""
      ),
    1)),
    "Night"
  )
)</f>
        <v>Day</v>
      </c>
    </row>
    <row r="82" spans="1:12" x14ac:dyDescent="0.3">
      <c r="A82" s="25" t="s">
        <v>81</v>
      </c>
      <c r="B82" t="s">
        <v>20</v>
      </c>
      <c r="C82" t="s">
        <v>21</v>
      </c>
      <c r="D82" t="s">
        <v>22</v>
      </c>
      <c r="E82" t="s">
        <v>23</v>
      </c>
      <c r="F82">
        <v>4201</v>
      </c>
      <c r="G82">
        <v>5551</v>
      </c>
      <c r="H82">
        <v>8.7799999999999994</v>
      </c>
      <c r="I82">
        <v>0.88</v>
      </c>
      <c r="J82">
        <v>7.9</v>
      </c>
      <c r="K82" s="25" t="str" cm="1">
        <f t="array" ref="K82">IF(
  ISNUMBER(DATEVALUE(A82)),
  TEXT(DATEVALUE(A82),"yyyy-mm-dd"),
  IFERROR(
    TEXT(INDEX($A$2:$A$301,MATCH(1,
      ($B$2:$B$301=B82) * ($C$2:$C$301=C82) * ($D$2:$D$301=D82) * ($E$2:$E$301=E82) *
      ($F$2:$F$301=F82) * ($G$2:$G$301=G82) * ($H$2:$H$301=H82) * ($I$2:$I$301=I82) *
      ($J$2:$J$301=J82),0)),"yyyy-mm-dd"),
    "Perlu Klarifikasi"
  )
)</f>
        <v>2024-01-19</v>
      </c>
      <c r="L82" t="str" cm="1">
        <f t="array" ref="L82">IF(
  E82&lt;&gt;"Evening",
  E82,
  IFERROR(
    INDEX($E$2:$E$301, SMALL(
      IF(
        ($B$2:$B$301=B82) * ($C$2:$C$301=C82) * ($D$2:$D$301=D82) *
        ($F$2:$F$301=F82) * ($G$2:$G$301=G82) * ($H$2:$H$301=H82) * ($I$2:$I$301=I82) *
        ($J$2:$J$301=J82) * ($K$2:$K$301=K82) * ($E$2:$E$301&lt;&gt;"Evening"),
        ROW($E$2:$E$301)-ROW($E$2)+1,
        ""
      ),
    1)),
    "Night"
  )
)</f>
        <v>Night</v>
      </c>
    </row>
    <row r="83" spans="1:12" x14ac:dyDescent="0.3">
      <c r="A83" s="25" t="s">
        <v>81</v>
      </c>
      <c r="B83" t="s">
        <v>20</v>
      </c>
      <c r="C83" t="s">
        <v>21</v>
      </c>
      <c r="D83" t="s">
        <v>22</v>
      </c>
      <c r="E83" t="s">
        <v>23</v>
      </c>
      <c r="F83">
        <v>3700</v>
      </c>
      <c r="G83">
        <v>1372</v>
      </c>
      <c r="H83">
        <v>5.3</v>
      </c>
      <c r="I83">
        <v>0.91</v>
      </c>
      <c r="J83">
        <v>4.3899999999999997</v>
      </c>
      <c r="K83" s="25" t="str" cm="1">
        <f t="array" ref="K83">IF(
  ISNUMBER(DATEVALUE(A83)),
  TEXT(DATEVALUE(A83),"yyyy-mm-dd"),
  IFERROR(
    TEXT(INDEX($A$2:$A$301,MATCH(1,
      ($B$2:$B$301=B83) * ($C$2:$C$301=C83) * ($D$2:$D$301=D83) * ($E$2:$E$301=E83) *
      ($F$2:$F$301=F83) * ($G$2:$G$301=G83) * ($H$2:$H$301=H83) * ($I$2:$I$301=I83) *
      ($J$2:$J$301=J83),0)),"yyyy-mm-dd"),
    "Perlu Klarifikasi"
  )
)</f>
        <v>2024-01-19</v>
      </c>
      <c r="L83" t="str" cm="1">
        <f t="array" ref="L83">IF(
  E83&lt;&gt;"Evening",
  E83,
  IFERROR(
    INDEX($E$2:$E$301, SMALL(
      IF(
        ($B$2:$B$301=B83) * ($C$2:$C$301=C83) * ($D$2:$D$301=D83) *
        ($F$2:$F$301=F83) * ($G$2:$G$301=G83) * ($H$2:$H$301=H83) * ($I$2:$I$301=I83) *
        ($J$2:$J$301=J83) * ($K$2:$K$301=K83) * ($E$2:$E$301&lt;&gt;"Evening"),
        ROW($E$2:$E$301)-ROW($E$2)+1,
        ""
      ),
    1)),
    "Night"
  )
)</f>
        <v>Night</v>
      </c>
    </row>
    <row r="84" spans="1:12" x14ac:dyDescent="0.3">
      <c r="A84" s="25" t="s">
        <v>81</v>
      </c>
      <c r="B84" t="s">
        <v>20</v>
      </c>
      <c r="C84" t="s">
        <v>21</v>
      </c>
      <c r="D84" t="s">
        <v>22</v>
      </c>
      <c r="E84" t="s">
        <v>23</v>
      </c>
      <c r="F84">
        <v>3700</v>
      </c>
      <c r="G84">
        <v>1372</v>
      </c>
      <c r="H84">
        <v>5.3</v>
      </c>
      <c r="I84">
        <v>0.91</v>
      </c>
      <c r="J84">
        <v>4.3899999999999997</v>
      </c>
      <c r="K84" s="25" t="str" cm="1">
        <f t="array" ref="K84">IF(
  ISNUMBER(DATEVALUE(A84)),
  TEXT(DATEVALUE(A84),"yyyy-mm-dd"),
  IFERROR(
    TEXT(INDEX($A$2:$A$301,MATCH(1,
      ($B$2:$B$301=B84) * ($C$2:$C$301=C84) * ($D$2:$D$301=D84) * ($E$2:$E$301=E84) *
      ($F$2:$F$301=F84) * ($G$2:$G$301=G84) * ($H$2:$H$301=H84) * ($I$2:$I$301=I84) *
      ($J$2:$J$301=J84),0)),"yyyy-mm-dd"),
    "Perlu Klarifikasi"
  )
)</f>
        <v>2024-01-19</v>
      </c>
      <c r="L84" t="str" cm="1">
        <f t="array" ref="L84">IF(
  E84&lt;&gt;"Evening",
  E84,
  IFERROR(
    INDEX($E$2:$E$301, SMALL(
      IF(
        ($B$2:$B$301=B84) * ($C$2:$C$301=C84) * ($D$2:$D$301=D84) *
        ($F$2:$F$301=F84) * ($G$2:$G$301=G84) * ($H$2:$H$301=H84) * ($I$2:$I$301=I84) *
        ($J$2:$J$301=J84) * ($K$2:$K$301=K84) * ($E$2:$E$301&lt;&gt;"Evening"),
        ROW($E$2:$E$301)-ROW($E$2)+1,
        ""
      ),
    1)),
    "Night"
  )
)</f>
        <v>Night</v>
      </c>
    </row>
    <row r="85" spans="1:12" x14ac:dyDescent="0.3">
      <c r="A85" s="25" t="s">
        <v>81</v>
      </c>
      <c r="B85" t="s">
        <v>20</v>
      </c>
      <c r="C85" t="s">
        <v>21</v>
      </c>
      <c r="D85" t="s">
        <v>22</v>
      </c>
      <c r="E85" t="s">
        <v>23</v>
      </c>
      <c r="F85">
        <v>4201</v>
      </c>
      <c r="G85">
        <v>5551</v>
      </c>
      <c r="H85">
        <v>8.7799999999999994</v>
      </c>
      <c r="I85">
        <v>0.88</v>
      </c>
      <c r="J85">
        <v>7.9</v>
      </c>
      <c r="K85" s="25" t="str" cm="1">
        <f t="array" ref="K85">IF(
  ISNUMBER(DATEVALUE(A85)),
  TEXT(DATEVALUE(A85),"yyyy-mm-dd"),
  IFERROR(
    TEXT(INDEX($A$2:$A$301,MATCH(1,
      ($B$2:$B$301=B85) * ($C$2:$C$301=C85) * ($D$2:$D$301=D85) * ($E$2:$E$301=E85) *
      ($F$2:$F$301=F85) * ($G$2:$G$301=G85) * ($H$2:$H$301=H85) * ($I$2:$I$301=I85) *
      ($J$2:$J$301=J85),0)),"yyyy-mm-dd"),
    "Perlu Klarifikasi"
  )
)</f>
        <v>2024-01-19</v>
      </c>
      <c r="L85" t="str" cm="1">
        <f t="array" ref="L85">IF(
  E85&lt;&gt;"Evening",
  E85,
  IFERROR(
    INDEX($E$2:$E$301, SMALL(
      IF(
        ($B$2:$B$301=B85) * ($C$2:$C$301=C85) * ($D$2:$D$301=D85) *
        ($F$2:$F$301=F85) * ($G$2:$G$301=G85) * ($H$2:$H$301=H85) * ($I$2:$I$301=I85) *
        ($J$2:$J$301=J85) * ($K$2:$K$301=K85) * ($E$2:$E$301&lt;&gt;"Evening"),
        ROW($E$2:$E$301)-ROW($E$2)+1,
        ""
      ),
    1)),
    "Night"
  )
)</f>
        <v>Night</v>
      </c>
    </row>
    <row r="86" spans="1:12" x14ac:dyDescent="0.3">
      <c r="A86" s="25" t="s">
        <v>81</v>
      </c>
      <c r="B86" t="s">
        <v>34</v>
      </c>
      <c r="C86" t="s">
        <v>25</v>
      </c>
      <c r="D86" t="s">
        <v>26</v>
      </c>
      <c r="E86" t="s">
        <v>27</v>
      </c>
      <c r="F86">
        <v>2340</v>
      </c>
      <c r="G86">
        <v>5815</v>
      </c>
      <c r="H86">
        <v>4</v>
      </c>
      <c r="I86">
        <v>0.9</v>
      </c>
      <c r="J86">
        <v>3.1</v>
      </c>
      <c r="K86" s="25" t="str" cm="1">
        <f t="array" ref="K86">IF(
  ISNUMBER(DATEVALUE(A86)),
  TEXT(DATEVALUE(A86),"yyyy-mm-dd"),
  IFERROR(
    TEXT(INDEX($A$2:$A$301,MATCH(1,
      ($B$2:$B$301=B86) * ($C$2:$C$301=C86) * ($D$2:$D$301=D86) * ($E$2:$E$301=E86) *
      ($F$2:$F$301=F86) * ($G$2:$G$301=G86) * ($H$2:$H$301=H86) * ($I$2:$I$301=I86) *
      ($J$2:$J$301=J86),0)),"yyyy-mm-dd"),
    "Perlu Klarifikasi"
  )
)</f>
        <v>2024-01-19</v>
      </c>
      <c r="L86" t="str" cm="1">
        <f t="array" ref="L86">IF(
  E86&lt;&gt;"Evening",
  E86,
  IFERROR(
    INDEX($E$2:$E$301, SMALL(
      IF(
        ($B$2:$B$301=B86) * ($C$2:$C$301=C86) * ($D$2:$D$301=D86) *
        ($F$2:$F$301=F86) * ($G$2:$G$301=G86) * ($H$2:$H$301=H86) * ($I$2:$I$301=I86) *
        ($J$2:$J$301=J86) * ($K$2:$K$301=K86) * ($E$2:$E$301&lt;&gt;"Evening"),
        ROW($E$2:$E$301)-ROW($E$2)+1,
        ""
      ),
    1)),
    "Night"
  )
)</f>
        <v>Day</v>
      </c>
    </row>
    <row r="87" spans="1:12" x14ac:dyDescent="0.3">
      <c r="A87" s="25" t="s">
        <v>95</v>
      </c>
      <c r="B87" t="s">
        <v>29</v>
      </c>
      <c r="C87" t="s">
        <v>25</v>
      </c>
      <c r="D87" t="s">
        <v>26</v>
      </c>
      <c r="E87" t="s">
        <v>23</v>
      </c>
      <c r="F87">
        <v>2608</v>
      </c>
      <c r="G87">
        <v>5513</v>
      </c>
      <c r="H87">
        <v>5.5</v>
      </c>
      <c r="I87">
        <v>0.89</v>
      </c>
      <c r="J87">
        <v>4.6100000000000003</v>
      </c>
      <c r="K87" s="25" t="str" cm="1">
        <f t="array" ref="K87">IF(
  ISNUMBER(DATEVALUE(A87)),
  TEXT(DATEVALUE(A87),"yyyy-mm-dd"),
  IFERROR(
    TEXT(INDEX($A$2:$A$301,MATCH(1,
      ($B$2:$B$301=B87) * ($C$2:$C$301=C87) * ($D$2:$D$301=D87) * ($E$2:$E$301=E87) *
      ($F$2:$F$301=F87) * ($G$2:$G$301=G87) * ($H$2:$H$301=H87) * ($I$2:$I$301=I87) *
      ($J$2:$J$301=J87),0)),"yyyy-mm-dd"),
    "Perlu Klarifikasi"
  )
)</f>
        <v>2024-01-20</v>
      </c>
      <c r="L87" t="str" cm="1">
        <f t="array" ref="L87">IF(
  E87&lt;&gt;"Evening",
  E87,
  IFERROR(
    INDEX($E$2:$E$301, SMALL(
      IF(
        ($B$2:$B$301=B87) * ($C$2:$C$301=C87) * ($D$2:$D$301=D87) *
        ($F$2:$F$301=F87) * ($G$2:$G$301=G87) * ($H$2:$H$301=H87) * ($I$2:$I$301=I87) *
        ($J$2:$J$301=J87) * ($K$2:$K$301=K87) * ($E$2:$E$301&lt;&gt;"Evening"),
        ROW($E$2:$E$301)-ROW($E$2)+1,
        ""
      ),
    1)),
    "Night"
  )
)</f>
        <v>Night</v>
      </c>
    </row>
    <row r="88" spans="1:12" x14ac:dyDescent="0.3">
      <c r="A88" s="25" t="s">
        <v>53</v>
      </c>
      <c r="B88" t="s">
        <v>20</v>
      </c>
      <c r="C88" t="s">
        <v>21</v>
      </c>
      <c r="D88" t="s">
        <v>26</v>
      </c>
      <c r="E88" t="s">
        <v>27</v>
      </c>
      <c r="F88">
        <v>5614</v>
      </c>
      <c r="G88">
        <v>5347</v>
      </c>
      <c r="H88">
        <v>7.83</v>
      </c>
      <c r="I88">
        <v>1.99</v>
      </c>
      <c r="J88">
        <v>5.84</v>
      </c>
      <c r="K88" s="25" t="str" cm="1">
        <f t="array" ref="K88">IF(
  ISNUMBER(DATEVALUE(A88)),
  TEXT(DATEVALUE(A88),"yyyy-mm-dd"),
  IFERROR(
    TEXT(INDEX($A$2:$A$301,MATCH(1,
      ($B$2:$B$301=B88) * ($C$2:$C$301=C88) * ($D$2:$D$301=D88) * ($E$2:$E$301=E88) *
      ($F$2:$F$301=F88) * ($G$2:$G$301=G88) * ($H$2:$H$301=H88) * ($I$2:$I$301=I88) *
      ($J$2:$J$301=J88),0)),"yyyy-mm-dd"),
    "Perlu Klarifikasi"
  )
)</f>
        <v>2024-01-22</v>
      </c>
      <c r="L88" t="str" cm="1">
        <f t="array" ref="L88">IF(
  E88&lt;&gt;"Evening",
  E88,
  IFERROR(
    INDEX($E$2:$E$301, SMALL(
      IF(
        ($B$2:$B$301=B88) * ($C$2:$C$301=C88) * ($D$2:$D$301=D88) *
        ($F$2:$F$301=F88) * ($G$2:$G$301=G88) * ($H$2:$H$301=H88) * ($I$2:$I$301=I88) *
        ($J$2:$J$301=J88) * ($K$2:$K$301=K88) * ($E$2:$E$301&lt;&gt;"Evening"),
        ROW($E$2:$E$301)-ROW($E$2)+1,
        ""
      ),
    1)),
    "Night"
  )
)</f>
        <v>Day</v>
      </c>
    </row>
    <row r="89" spans="1:12" x14ac:dyDescent="0.3">
      <c r="A89" s="25" t="s">
        <v>53</v>
      </c>
      <c r="B89" t="s">
        <v>20</v>
      </c>
      <c r="C89" t="s">
        <v>21</v>
      </c>
      <c r="D89" t="s">
        <v>26</v>
      </c>
      <c r="E89" t="s">
        <v>27</v>
      </c>
      <c r="F89">
        <v>5614</v>
      </c>
      <c r="G89">
        <v>5347</v>
      </c>
      <c r="H89">
        <v>7.83</v>
      </c>
      <c r="I89">
        <v>1.99</v>
      </c>
      <c r="J89">
        <v>5.84</v>
      </c>
      <c r="K89" s="25" t="str" cm="1">
        <f t="array" ref="K89">IF(
  ISNUMBER(DATEVALUE(A89)),
  TEXT(DATEVALUE(A89),"yyyy-mm-dd"),
  IFERROR(
    TEXT(INDEX($A$2:$A$301,MATCH(1,
      ($B$2:$B$301=B89) * ($C$2:$C$301=C89) * ($D$2:$D$301=D89) * ($E$2:$E$301=E89) *
      ($F$2:$F$301=F89) * ($G$2:$G$301=G89) * ($H$2:$H$301=H89) * ($I$2:$I$301=I89) *
      ($J$2:$J$301=J89),0)),"yyyy-mm-dd"),
    "Perlu Klarifikasi"
  )
)</f>
        <v>2024-01-22</v>
      </c>
      <c r="L89" t="str" cm="1">
        <f t="array" ref="L89">IF(
  E89&lt;&gt;"Evening",
  E89,
  IFERROR(
    INDEX($E$2:$E$301, SMALL(
      IF(
        ($B$2:$B$301=B89) * ($C$2:$C$301=C89) * ($D$2:$D$301=D89) *
        ($F$2:$F$301=F89) * ($G$2:$G$301=G89) * ($H$2:$H$301=H89) * ($I$2:$I$301=I89) *
        ($J$2:$J$301=J89) * ($K$2:$K$301=K89) * ($E$2:$E$301&lt;&gt;"Evening"),
        ROW($E$2:$E$301)-ROW($E$2)+1,
        ""
      ),
    1)),
    "Night"
  )
)</f>
        <v>Day</v>
      </c>
    </row>
    <row r="90" spans="1:12" x14ac:dyDescent="0.3">
      <c r="A90" s="25" t="s">
        <v>40</v>
      </c>
      <c r="B90" t="s">
        <v>20</v>
      </c>
      <c r="C90" t="s">
        <v>30</v>
      </c>
      <c r="D90" t="s">
        <v>22</v>
      </c>
      <c r="E90" t="s">
        <v>27</v>
      </c>
      <c r="F90">
        <v>6057</v>
      </c>
      <c r="G90">
        <v>1189</v>
      </c>
      <c r="H90">
        <v>5.46</v>
      </c>
      <c r="I90">
        <v>0.62</v>
      </c>
      <c r="J90">
        <v>4.84</v>
      </c>
      <c r="K90" s="25" t="str" cm="1">
        <f t="array" ref="K90">IF(
  ISNUMBER(DATEVALUE(A90)),
  TEXT(DATEVALUE(A90),"yyyy-mm-dd"),
  IFERROR(
    TEXT(INDEX($A$2:$A$301,MATCH(1,
      ($B$2:$B$301=B90) * ($C$2:$C$301=C90) * ($D$2:$D$301=D90) * ($E$2:$E$301=E90) *
      ($F$2:$F$301=F90) * ($G$2:$G$301=G90) * ($H$2:$H$301=H90) * ($I$2:$I$301=I90) *
      ($J$2:$J$301=J90),0)),"yyyy-mm-dd"),
    "Perlu Klarifikasi"
  )
)</f>
        <v>2024-01-24</v>
      </c>
      <c r="L90" t="str" cm="1">
        <f t="array" ref="L90">IF(
  E90&lt;&gt;"Evening",
  E90,
  IFERROR(
    INDEX($E$2:$E$301, SMALL(
      IF(
        ($B$2:$B$301=B90) * ($C$2:$C$301=C90) * ($D$2:$D$301=D90) *
        ($F$2:$F$301=F90) * ($G$2:$G$301=G90) * ($H$2:$H$301=H90) * ($I$2:$I$301=I90) *
        ($J$2:$J$301=J90) * ($K$2:$K$301=K90) * ($E$2:$E$301&lt;&gt;"Evening"),
        ROW($E$2:$E$301)-ROW($E$2)+1,
        ""
      ),
    1)),
    "Night"
  )
)</f>
        <v>Day</v>
      </c>
    </row>
    <row r="91" spans="1:12" x14ac:dyDescent="0.3">
      <c r="A91" s="25" t="s">
        <v>40</v>
      </c>
      <c r="B91" t="s">
        <v>20</v>
      </c>
      <c r="C91" t="s">
        <v>25</v>
      </c>
      <c r="D91" t="s">
        <v>22</v>
      </c>
      <c r="E91" t="s">
        <v>23</v>
      </c>
      <c r="F91">
        <v>996</v>
      </c>
      <c r="G91">
        <v>3003</v>
      </c>
      <c r="H91">
        <v>6.17</v>
      </c>
      <c r="I91">
        <v>0.08</v>
      </c>
      <c r="J91">
        <v>6.09</v>
      </c>
      <c r="K91" s="25" t="str" cm="1">
        <f t="array" ref="K91">IF(
  ISNUMBER(DATEVALUE(A91)),
  TEXT(DATEVALUE(A91),"yyyy-mm-dd"),
  IFERROR(
    TEXT(INDEX($A$2:$A$301,MATCH(1,
      ($B$2:$B$301=B91) * ($C$2:$C$301=C91) * ($D$2:$D$301=D91) * ($E$2:$E$301=E91) *
      ($F$2:$F$301=F91) * ($G$2:$G$301=G91) * ($H$2:$H$301=H91) * ($I$2:$I$301=I91) *
      ($J$2:$J$301=J91),0)),"yyyy-mm-dd"),
    "Perlu Klarifikasi"
  )
)</f>
        <v>2024-01-24</v>
      </c>
      <c r="L91" t="str" cm="1">
        <f t="array" ref="L91">IF(
  E91&lt;&gt;"Evening",
  E91,
  IFERROR(
    INDEX($E$2:$E$301, SMALL(
      IF(
        ($B$2:$B$301=B91) * ($C$2:$C$301=C91) * ($D$2:$D$301=D91) *
        ($F$2:$F$301=F91) * ($G$2:$G$301=G91) * ($H$2:$H$301=H91) * ($I$2:$I$301=I91) *
        ($J$2:$J$301=J91) * ($K$2:$K$301=K91) * ($E$2:$E$301&lt;&gt;"Evening"),
        ROW($E$2:$E$301)-ROW($E$2)+1,
        ""
      ),
    1)),
    "Night"
  )
)</f>
        <v>Night</v>
      </c>
    </row>
    <row r="92" spans="1:12" x14ac:dyDescent="0.3">
      <c r="A92" s="25" t="s">
        <v>40</v>
      </c>
      <c r="B92" t="s">
        <v>20</v>
      </c>
      <c r="C92" t="s">
        <v>30</v>
      </c>
      <c r="D92" t="s">
        <v>22</v>
      </c>
      <c r="E92" t="s">
        <v>27</v>
      </c>
      <c r="F92">
        <v>6057</v>
      </c>
      <c r="G92">
        <v>1189</v>
      </c>
      <c r="H92">
        <v>5.46</v>
      </c>
      <c r="I92">
        <v>0.62</v>
      </c>
      <c r="J92">
        <v>4.84</v>
      </c>
      <c r="K92" s="25" t="str" cm="1">
        <f t="array" ref="K92">IF(
  ISNUMBER(DATEVALUE(A92)),
  TEXT(DATEVALUE(A92),"yyyy-mm-dd"),
  IFERROR(
    TEXT(INDEX($A$2:$A$301,MATCH(1,
      ($B$2:$B$301=B92) * ($C$2:$C$301=C92) * ($D$2:$D$301=D92) * ($E$2:$E$301=E92) *
      ($F$2:$F$301=F92) * ($G$2:$G$301=G92) * ($H$2:$H$301=H92) * ($I$2:$I$301=I92) *
      ($J$2:$J$301=J92),0)),"yyyy-mm-dd"),
    "Perlu Klarifikasi"
  )
)</f>
        <v>2024-01-24</v>
      </c>
      <c r="L92" t="str" cm="1">
        <f t="array" ref="L92">IF(
  E92&lt;&gt;"Evening",
  E92,
  IFERROR(
    INDEX($E$2:$E$301, SMALL(
      IF(
        ($B$2:$B$301=B92) * ($C$2:$C$301=C92) * ($D$2:$D$301=D92) *
        ($F$2:$F$301=F92) * ($G$2:$G$301=G92) * ($H$2:$H$301=H92) * ($I$2:$I$301=I92) *
        ($J$2:$J$301=J92) * ($K$2:$K$301=K92) * ($E$2:$E$301&lt;&gt;"Evening"),
        ROW($E$2:$E$301)-ROW($E$2)+1,
        ""
      ),
    1)),
    "Night"
  )
)</f>
        <v>Day</v>
      </c>
    </row>
    <row r="93" spans="1:12" x14ac:dyDescent="0.3">
      <c r="A93" s="25" t="s">
        <v>40</v>
      </c>
      <c r="B93" t="s">
        <v>20</v>
      </c>
      <c r="C93" t="s">
        <v>30</v>
      </c>
      <c r="D93" t="s">
        <v>22</v>
      </c>
      <c r="E93" t="s">
        <v>27</v>
      </c>
      <c r="F93">
        <v>6057</v>
      </c>
      <c r="G93">
        <v>1189</v>
      </c>
      <c r="H93">
        <v>5.46</v>
      </c>
      <c r="I93">
        <v>0.62</v>
      </c>
      <c r="J93">
        <v>4.84</v>
      </c>
      <c r="K93" s="25" t="str" cm="1">
        <f t="array" ref="K93">IF(
  ISNUMBER(DATEVALUE(A93)),
  TEXT(DATEVALUE(A93),"yyyy-mm-dd"),
  IFERROR(
    TEXT(INDEX($A$2:$A$301,MATCH(1,
      ($B$2:$B$301=B93) * ($C$2:$C$301=C93) * ($D$2:$D$301=D93) * ($E$2:$E$301=E93) *
      ($F$2:$F$301=F93) * ($G$2:$G$301=G93) * ($H$2:$H$301=H93) * ($I$2:$I$301=I93) *
      ($J$2:$J$301=J93),0)),"yyyy-mm-dd"),
    "Perlu Klarifikasi"
  )
)</f>
        <v>2024-01-24</v>
      </c>
      <c r="L93" t="str" cm="1">
        <f t="array" ref="L93">IF(
  E93&lt;&gt;"Evening",
  E93,
  IFERROR(
    INDEX($E$2:$E$301, SMALL(
      IF(
        ($B$2:$B$301=B93) * ($C$2:$C$301=C93) * ($D$2:$D$301=D93) *
        ($F$2:$F$301=F93) * ($G$2:$G$301=G93) * ($H$2:$H$301=H93) * ($I$2:$I$301=I93) *
        ($J$2:$J$301=J93) * ($K$2:$K$301=K93) * ($E$2:$E$301&lt;&gt;"Evening"),
        ROW($E$2:$E$301)-ROW($E$2)+1,
        ""
      ),
    1)),
    "Night"
  )
)</f>
        <v>Day</v>
      </c>
    </row>
    <row r="94" spans="1:12" x14ac:dyDescent="0.3">
      <c r="A94" s="25" t="s">
        <v>40</v>
      </c>
      <c r="B94" t="s">
        <v>20</v>
      </c>
      <c r="C94" t="s">
        <v>30</v>
      </c>
      <c r="D94" t="s">
        <v>22</v>
      </c>
      <c r="E94" t="s">
        <v>27</v>
      </c>
      <c r="F94">
        <v>6057</v>
      </c>
      <c r="G94">
        <v>1189</v>
      </c>
      <c r="H94">
        <v>5.46</v>
      </c>
      <c r="I94">
        <v>0.62</v>
      </c>
      <c r="J94">
        <v>4.84</v>
      </c>
      <c r="K94" s="25" t="str" cm="1">
        <f t="array" ref="K94">IF(
  ISNUMBER(DATEVALUE(A94)),
  TEXT(DATEVALUE(A94),"yyyy-mm-dd"),
  IFERROR(
    TEXT(INDEX($A$2:$A$301,MATCH(1,
      ($B$2:$B$301=B94) * ($C$2:$C$301=C94) * ($D$2:$D$301=D94) * ($E$2:$E$301=E94) *
      ($F$2:$F$301=F94) * ($G$2:$G$301=G94) * ($H$2:$H$301=H94) * ($I$2:$I$301=I94) *
      ($J$2:$J$301=J94),0)),"yyyy-mm-dd"),
    "Perlu Klarifikasi"
  )
)</f>
        <v>2024-01-24</v>
      </c>
      <c r="L94" t="str" cm="1">
        <f t="array" ref="L94">IF(
  E94&lt;&gt;"Evening",
  E94,
  IFERROR(
    INDEX($E$2:$E$301, SMALL(
      IF(
        ($B$2:$B$301=B94) * ($C$2:$C$301=C94) * ($D$2:$D$301=D94) *
        ($F$2:$F$301=F94) * ($G$2:$G$301=G94) * ($H$2:$H$301=H94) * ($I$2:$I$301=I94) *
        ($J$2:$J$301=J94) * ($K$2:$K$301=K94) * ($E$2:$E$301&lt;&gt;"Evening"),
        ROW($E$2:$E$301)-ROW($E$2)+1,
        ""
      ),
    1)),
    "Night"
  )
)</f>
        <v>Day</v>
      </c>
    </row>
    <row r="95" spans="1:12" x14ac:dyDescent="0.3">
      <c r="A95" s="25" t="s">
        <v>40</v>
      </c>
      <c r="B95" t="s">
        <v>20</v>
      </c>
      <c r="C95" t="s">
        <v>25</v>
      </c>
      <c r="D95" t="s">
        <v>22</v>
      </c>
      <c r="E95" s="22" t="s">
        <v>32</v>
      </c>
      <c r="F95">
        <v>996</v>
      </c>
      <c r="G95">
        <v>3003</v>
      </c>
      <c r="H95">
        <v>6.17</v>
      </c>
      <c r="I95">
        <v>0.08</v>
      </c>
      <c r="J95">
        <v>6.09</v>
      </c>
      <c r="K95" s="25" t="str" cm="1">
        <f t="array" ref="K95">IF(
  ISNUMBER(DATEVALUE(A95)),
  TEXT(DATEVALUE(A95),"yyyy-mm-dd"),
  IFERROR(
    TEXT(INDEX($A$2:$A$301,MATCH(1,
      ($B$2:$B$301=B95) * ($C$2:$C$301=C95) * ($D$2:$D$301=D95) * ($E$2:$E$301=E95) *
      ($F$2:$F$301=F95) * ($G$2:$G$301=G95) * ($H$2:$H$301=H95) * ($I$2:$I$301=I95) *
      ($J$2:$J$301=J95),0)),"yyyy-mm-dd"),
    "Perlu Klarifikasi"
  )
)</f>
        <v>2024-01-24</v>
      </c>
      <c r="L95" t="str" cm="1">
        <f t="array" ref="L95">IF(
  E95&lt;&gt;"Evening",
  E95,
  IFERROR(
    INDEX($E$2:$E$301, SMALL(
      IF(
        ($B$2:$B$301=B95) * ($C$2:$C$301=C95) * ($D$2:$D$301=D95) *
        ($F$2:$F$301=F95) * ($G$2:$G$301=G95) * ($H$2:$H$301=H95) * ($I$2:$I$301=I95) *
        ($J$2:$J$301=J95) * ($K$2:$K$301=K95) * ($E$2:$E$301&lt;&gt;"Evening"),
        ROW($E$2:$E$301)-ROW($E$2)+1,
        ""
      ),
    1)),
    "Night"
  )
)</f>
        <v>Night</v>
      </c>
    </row>
    <row r="96" spans="1:12" x14ac:dyDescent="0.3">
      <c r="A96" s="25" t="s">
        <v>40</v>
      </c>
      <c r="B96" t="s">
        <v>20</v>
      </c>
      <c r="C96" t="s">
        <v>30</v>
      </c>
      <c r="D96" t="s">
        <v>31</v>
      </c>
      <c r="E96" t="s">
        <v>27</v>
      </c>
      <c r="F96">
        <v>2855</v>
      </c>
      <c r="G96">
        <v>4934</v>
      </c>
      <c r="H96">
        <v>6.41</v>
      </c>
      <c r="I96">
        <v>0.85</v>
      </c>
      <c r="J96">
        <v>5.56</v>
      </c>
      <c r="K96" s="25" t="str" cm="1">
        <f t="array" ref="K96">IF(
  ISNUMBER(DATEVALUE(A96)),
  TEXT(DATEVALUE(A96),"yyyy-mm-dd"),
  IFERROR(
    TEXT(INDEX($A$2:$A$301,MATCH(1,
      ($B$2:$B$301=B96) * ($C$2:$C$301=C96) * ($D$2:$D$301=D96) * ($E$2:$E$301=E96) *
      ($F$2:$F$301=F96) * ($G$2:$G$301=G96) * ($H$2:$H$301=H96) * ($I$2:$I$301=I96) *
      ($J$2:$J$301=J96),0)),"yyyy-mm-dd"),
    "Perlu Klarifikasi"
  )
)</f>
        <v>2024-01-24</v>
      </c>
      <c r="L96" t="str" cm="1">
        <f t="array" ref="L96">IF(
  E96&lt;&gt;"Evening",
  E96,
  IFERROR(
    INDEX($E$2:$E$301, SMALL(
      IF(
        ($B$2:$B$301=B96) * ($C$2:$C$301=C96) * ($D$2:$D$301=D96) *
        ($F$2:$F$301=F96) * ($G$2:$G$301=G96) * ($H$2:$H$301=H96) * ($I$2:$I$301=I96) *
        ($J$2:$J$301=J96) * ($K$2:$K$301=K96) * ($E$2:$E$301&lt;&gt;"Evening"),
        ROW($E$2:$E$301)-ROW($E$2)+1,
        ""
      ),
    1)),
    "Night"
  )
)</f>
        <v>Day</v>
      </c>
    </row>
    <row r="97" spans="1:12" x14ac:dyDescent="0.3">
      <c r="A97" s="25" t="s">
        <v>72</v>
      </c>
      <c r="B97" t="s">
        <v>34</v>
      </c>
      <c r="C97" t="s">
        <v>25</v>
      </c>
      <c r="D97" s="22" t="str" cm="1">
        <f t="array" ref="D97">IF(
  Produksi!D93&lt;&gt;"",
  Produksi!D93,
  IFERROR(
    INDEX($D$2:$D$301, MATCH(1,
      ($B$2:$B$301=Produksi!B93) * ($C$2:$C$301=Produksi!C93) * ($E$2:$E$301=Produksi!E93),
      0)),
    "Perlu Klarifikasi")
)</f>
        <v>EX2500</v>
      </c>
      <c r="E97" t="s">
        <v>27</v>
      </c>
      <c r="F97">
        <v>6106</v>
      </c>
      <c r="G97">
        <v>4221</v>
      </c>
      <c r="H97">
        <v>8.32</v>
      </c>
      <c r="I97">
        <v>1.94</v>
      </c>
      <c r="J97">
        <v>6.38</v>
      </c>
      <c r="K97" s="25" t="str" cm="1">
        <f t="array" ref="K97">IF(
  ISNUMBER(DATEVALUE(A97)),
  TEXT(DATEVALUE(A97),"yyyy-mm-dd"),
  IFERROR(
    TEXT(INDEX($A$2:$A$301,MATCH(1,
      ($B$2:$B$301=B97) * ($C$2:$C$301=C97) * ($D$2:$D$301=D97) * ($E$2:$E$301=E97) *
      ($F$2:$F$301=F97) * ($G$2:$G$301=G97) * ($H$2:$H$301=H97) * ($I$2:$I$301=I97) *
      ($J$2:$J$301=J97),0)),"yyyy-mm-dd"),
    "Perlu Klarifikasi"
  )
)</f>
        <v>2024-01-25</v>
      </c>
      <c r="L97" t="str" cm="1">
        <f t="array" ref="L97">IF(
  E97&lt;&gt;"Evening",
  E97,
  IFERROR(
    INDEX($E$2:$E$301, SMALL(
      IF(
        ($B$2:$B$301=B97) * ($C$2:$C$301=C97) * ($D$2:$D$301=D97) *
        ($F$2:$F$301=F97) * ($G$2:$G$301=G97) * ($H$2:$H$301=H97) * ($I$2:$I$301=I97) *
        ($J$2:$J$301=J97) * ($K$2:$K$301=K97) * ($E$2:$E$301&lt;&gt;"Evening"),
        ROW($E$2:$E$301)-ROW($E$2)+1,
        ""
      ),
    1)),
    "Night"
  )
)</f>
        <v>Day</v>
      </c>
    </row>
    <row r="98" spans="1:12" x14ac:dyDescent="0.3">
      <c r="A98" s="25" t="s">
        <v>72</v>
      </c>
      <c r="B98" t="s">
        <v>34</v>
      </c>
      <c r="C98" t="s">
        <v>25</v>
      </c>
      <c r="D98" t="s">
        <v>22</v>
      </c>
      <c r="E98" t="s">
        <v>27</v>
      </c>
      <c r="F98">
        <v>6106</v>
      </c>
      <c r="G98">
        <v>4221</v>
      </c>
      <c r="H98">
        <v>8.32</v>
      </c>
      <c r="I98">
        <v>1.94</v>
      </c>
      <c r="J98">
        <v>6.38</v>
      </c>
      <c r="K98" s="25" t="str" cm="1">
        <f t="array" ref="K98">IF(
  ISNUMBER(DATEVALUE(A98)),
  TEXT(DATEVALUE(A98),"yyyy-mm-dd"),
  IFERROR(
    TEXT(INDEX($A$2:$A$301,MATCH(1,
      ($B$2:$B$301=B98) * ($C$2:$C$301=C98) * ($D$2:$D$301=D98) * ($E$2:$E$301=E98) *
      ($F$2:$F$301=F98) * ($G$2:$G$301=G98) * ($H$2:$H$301=H98) * ($I$2:$I$301=I98) *
      ($J$2:$J$301=J98),0)),"yyyy-mm-dd"),
    "Perlu Klarifikasi"
  )
)</f>
        <v>2024-01-25</v>
      </c>
      <c r="L98" t="str" cm="1">
        <f t="array" ref="L98">IF(
  E98&lt;&gt;"Evening",
  E98,
  IFERROR(
    INDEX($E$2:$E$301, SMALL(
      IF(
        ($B$2:$B$301=B98) * ($C$2:$C$301=C98) * ($D$2:$D$301=D98) *
        ($F$2:$F$301=F98) * ($G$2:$G$301=G98) * ($H$2:$H$301=H98) * ($I$2:$I$301=I98) *
        ($J$2:$J$301=J98) * ($K$2:$K$301=K98) * ($E$2:$E$301&lt;&gt;"Evening"),
        ROW($E$2:$E$301)-ROW($E$2)+1,
        ""
      ),
    1)),
    "Night"
  )
)</f>
        <v>Day</v>
      </c>
    </row>
    <row r="99" spans="1:12" x14ac:dyDescent="0.3">
      <c r="A99" s="25" t="s">
        <v>72</v>
      </c>
      <c r="B99" t="s">
        <v>20</v>
      </c>
      <c r="C99" t="s">
        <v>30</v>
      </c>
      <c r="D99" t="s">
        <v>22</v>
      </c>
      <c r="E99" t="s">
        <v>23</v>
      </c>
      <c r="F99">
        <v>6073</v>
      </c>
      <c r="G99">
        <v>3081</v>
      </c>
      <c r="H99">
        <v>4.07</v>
      </c>
      <c r="I99">
        <v>1.22</v>
      </c>
      <c r="J99">
        <v>2.85</v>
      </c>
      <c r="K99" s="25" t="str" cm="1">
        <f t="array" ref="K99">IF(
  ISNUMBER(DATEVALUE(A99)),
  TEXT(DATEVALUE(A99),"yyyy-mm-dd"),
  IFERROR(
    TEXT(INDEX($A$2:$A$301,MATCH(1,
      ($B$2:$B$301=B99) * ($C$2:$C$301=C99) * ($D$2:$D$301=D99) * ($E$2:$E$301=E99) *
      ($F$2:$F$301=F99) * ($G$2:$G$301=G99) * ($H$2:$H$301=H99) * ($I$2:$I$301=I99) *
      ($J$2:$J$301=J99),0)),"yyyy-mm-dd"),
    "Perlu Klarifikasi"
  )
)</f>
        <v>2024-01-25</v>
      </c>
      <c r="L99" t="str" cm="1">
        <f t="array" ref="L99">IF(
  E99&lt;&gt;"Evening",
  E99,
  IFERROR(
    INDEX($E$2:$E$301, SMALL(
      IF(
        ($B$2:$B$301=B99) * ($C$2:$C$301=C99) * ($D$2:$D$301=D99) *
        ($F$2:$F$301=F99) * ($G$2:$G$301=G99) * ($H$2:$H$301=H99) * ($I$2:$I$301=I99) *
        ($J$2:$J$301=J99) * ($K$2:$K$301=K99) * ($E$2:$E$301&lt;&gt;"Evening"),
        ROW($E$2:$E$301)-ROW($E$2)+1,
        ""
      ),
    1)),
    "Night"
  )
)</f>
        <v>Night</v>
      </c>
    </row>
    <row r="100" spans="1:12" x14ac:dyDescent="0.3">
      <c r="A100" s="25" t="s">
        <v>78</v>
      </c>
      <c r="B100" t="s">
        <v>34</v>
      </c>
      <c r="C100" t="s">
        <v>30</v>
      </c>
      <c r="D100" t="s">
        <v>22</v>
      </c>
      <c r="E100" t="s">
        <v>27</v>
      </c>
      <c r="F100">
        <v>7956</v>
      </c>
      <c r="G100">
        <v>1862</v>
      </c>
      <c r="H100">
        <v>9.42</v>
      </c>
      <c r="I100">
        <v>0.59</v>
      </c>
      <c r="J100">
        <v>8.83</v>
      </c>
      <c r="K100" s="25" t="str" cm="1">
        <f t="array" ref="K100">IF(
  ISNUMBER(DATEVALUE(A100)),
  TEXT(DATEVALUE(A100),"yyyy-mm-dd"),
  IFERROR(
    TEXT(INDEX($A$2:$A$301,MATCH(1,
      ($B$2:$B$301=B100) * ($C$2:$C$301=C100) * ($D$2:$D$301=D100) * ($E$2:$E$301=E100) *
      ($F$2:$F$301=F100) * ($G$2:$G$301=G100) * ($H$2:$H$301=H100) * ($I$2:$I$301=I100) *
      ($J$2:$J$301=J100),0)),"yyyy-mm-dd"),
    "Perlu Klarifikasi"
  )
)</f>
        <v>2024-01-26</v>
      </c>
      <c r="L100" t="str" cm="1">
        <f t="array" ref="L100">IF(
  E100&lt;&gt;"Evening",
  E100,
  IFERROR(
    INDEX($E$2:$E$301, SMALL(
      IF(
        ($B$2:$B$301=B100) * ($C$2:$C$301=C100) * ($D$2:$D$301=D100) *
        ($F$2:$F$301=F100) * ($G$2:$G$301=G100) * ($H$2:$H$301=H100) * ($I$2:$I$301=I100) *
        ($J$2:$J$301=J100) * ($K$2:$K$301=K100) * ($E$2:$E$301&lt;&gt;"Evening"),
        ROW($E$2:$E$301)-ROW($E$2)+1,
        ""
      ),
    1)),
    "Night"
  )
)</f>
        <v>Day</v>
      </c>
    </row>
    <row r="101" spans="1:12" x14ac:dyDescent="0.3">
      <c r="A101" s="25" t="s">
        <v>78</v>
      </c>
      <c r="B101" t="s">
        <v>34</v>
      </c>
      <c r="C101" t="s">
        <v>30</v>
      </c>
      <c r="D101" t="s">
        <v>22</v>
      </c>
      <c r="E101" t="s">
        <v>27</v>
      </c>
      <c r="F101">
        <v>7956</v>
      </c>
      <c r="G101">
        <v>1862</v>
      </c>
      <c r="H101">
        <v>9.42</v>
      </c>
      <c r="I101">
        <v>0.59</v>
      </c>
      <c r="J101">
        <v>8.83</v>
      </c>
      <c r="K101" s="25" t="str" cm="1">
        <f t="array" ref="K101">IF(
  ISNUMBER(DATEVALUE(A101)),
  TEXT(DATEVALUE(A101),"yyyy-mm-dd"),
  IFERROR(
    TEXT(INDEX($A$2:$A$301,MATCH(1,
      ($B$2:$B$301=B101) * ($C$2:$C$301=C101) * ($D$2:$D$301=D101) * ($E$2:$E$301=E101) *
      ($F$2:$F$301=F101) * ($G$2:$G$301=G101) * ($H$2:$H$301=H101) * ($I$2:$I$301=I101) *
      ($J$2:$J$301=J101),0)),"yyyy-mm-dd"),
    "Perlu Klarifikasi"
  )
)</f>
        <v>2024-01-26</v>
      </c>
      <c r="L101" t="str" cm="1">
        <f t="array" ref="L101">IF(
  E101&lt;&gt;"Evening",
  E101,
  IFERROR(
    INDEX($E$2:$E$301, SMALL(
      IF(
        ($B$2:$B$301=B101) * ($C$2:$C$301=C101) * ($D$2:$D$301=D101) *
        ($F$2:$F$301=F101) * ($G$2:$G$301=G101) * ($H$2:$H$301=H101) * ($I$2:$I$301=I101) *
        ($J$2:$J$301=J101) * ($K$2:$K$301=K101) * ($E$2:$E$301&lt;&gt;"Evening"),
        ROW($E$2:$E$301)-ROW($E$2)+1,
        ""
      ),
    1)),
    "Night"
  )
)</f>
        <v>Day</v>
      </c>
    </row>
    <row r="102" spans="1:12" x14ac:dyDescent="0.3">
      <c r="A102" s="25" t="s">
        <v>78</v>
      </c>
      <c r="B102" t="s">
        <v>34</v>
      </c>
      <c r="C102" t="s">
        <v>30</v>
      </c>
      <c r="D102" t="s">
        <v>31</v>
      </c>
      <c r="E102" t="s">
        <v>23</v>
      </c>
      <c r="F102">
        <v>4811</v>
      </c>
      <c r="G102">
        <v>6781</v>
      </c>
      <c r="H102">
        <v>4.1100000000000003</v>
      </c>
      <c r="I102">
        <v>0.7</v>
      </c>
      <c r="J102">
        <v>3.41</v>
      </c>
      <c r="K102" s="25" t="str" cm="1">
        <f t="array" ref="K102">IF(
  ISNUMBER(DATEVALUE(A102)),
  TEXT(DATEVALUE(A102),"yyyy-mm-dd"),
  IFERROR(
    TEXT(INDEX($A$2:$A$301,MATCH(1,
      ($B$2:$B$301=B102) * ($C$2:$C$301=C102) * ($D$2:$D$301=D102) * ($E$2:$E$301=E102) *
      ($F$2:$F$301=F102) * ($G$2:$G$301=G102) * ($H$2:$H$301=H102) * ($I$2:$I$301=I102) *
      ($J$2:$J$301=J102),0)),"yyyy-mm-dd"),
    "Perlu Klarifikasi"
  )
)</f>
        <v>2024-01-26</v>
      </c>
      <c r="L102" t="str" cm="1">
        <f t="array" ref="L102">IF(
  E102&lt;&gt;"Evening",
  E102,
  IFERROR(
    INDEX($E$2:$E$301, SMALL(
      IF(
        ($B$2:$B$301=B102) * ($C$2:$C$301=C102) * ($D$2:$D$301=D102) *
        ($F$2:$F$301=F102) * ($G$2:$G$301=G102) * ($H$2:$H$301=H102) * ($I$2:$I$301=I102) *
        ($J$2:$J$301=J102) * ($K$2:$K$301=K102) * ($E$2:$E$301&lt;&gt;"Evening"),
        ROW($E$2:$E$301)-ROW($E$2)+1,
        ""
      ),
    1)),
    "Night"
  )
)</f>
        <v>Night</v>
      </c>
    </row>
    <row r="103" spans="1:12" x14ac:dyDescent="0.3">
      <c r="A103" s="25" t="s">
        <v>78</v>
      </c>
      <c r="B103" t="s">
        <v>34</v>
      </c>
      <c r="C103" t="s">
        <v>30</v>
      </c>
      <c r="D103" t="s">
        <v>31</v>
      </c>
      <c r="E103" s="22" t="s">
        <v>32</v>
      </c>
      <c r="F103">
        <v>4811</v>
      </c>
      <c r="G103">
        <v>6781</v>
      </c>
      <c r="H103">
        <v>4.1100000000000003</v>
      </c>
      <c r="I103">
        <v>0.7</v>
      </c>
      <c r="J103">
        <v>3.41</v>
      </c>
      <c r="K103" s="25" t="str" cm="1">
        <f t="array" ref="K103">IF(
  ISNUMBER(DATEVALUE(A103)),
  TEXT(DATEVALUE(A103),"yyyy-mm-dd"),
  IFERROR(
    TEXT(INDEX($A$2:$A$301,MATCH(1,
      ($B$2:$B$301=B103) * ($C$2:$C$301=C103) * ($D$2:$D$301=D103) * ($E$2:$E$301=E103) *
      ($F$2:$F$301=F103) * ($G$2:$G$301=G103) * ($H$2:$H$301=H103) * ($I$2:$I$301=I103) *
      ($J$2:$J$301=J103),0)),"yyyy-mm-dd"),
    "Perlu Klarifikasi"
  )
)</f>
        <v>2024-01-26</v>
      </c>
      <c r="L103" t="str" cm="1">
        <f t="array" ref="L103">IF(
  E103&lt;&gt;"Evening",
  E103,
  IFERROR(
    INDEX($E$2:$E$301, SMALL(
      IF(
        ($B$2:$B$301=B103) * ($C$2:$C$301=C103) * ($D$2:$D$301=D103) *
        ($F$2:$F$301=F103) * ($G$2:$G$301=G103) * ($H$2:$H$301=H103) * ($I$2:$I$301=I103) *
        ($J$2:$J$301=J103) * ($K$2:$K$301=K103) * ($E$2:$E$301&lt;&gt;"Evening"),
        ROW($E$2:$E$301)-ROW($E$2)+1,
        ""
      ),
    1)),
    "Night"
  )
)</f>
        <v>Night</v>
      </c>
    </row>
    <row r="104" spans="1:12" x14ac:dyDescent="0.3">
      <c r="A104" s="25" t="s">
        <v>78</v>
      </c>
      <c r="B104" t="s">
        <v>34</v>
      </c>
      <c r="C104" t="s">
        <v>30</v>
      </c>
      <c r="D104" t="s">
        <v>31</v>
      </c>
      <c r="E104" t="s">
        <v>23</v>
      </c>
      <c r="F104">
        <v>4811</v>
      </c>
      <c r="G104">
        <v>6781</v>
      </c>
      <c r="H104">
        <v>4.1100000000000003</v>
      </c>
      <c r="I104">
        <v>0.7</v>
      </c>
      <c r="J104">
        <v>3.41</v>
      </c>
      <c r="K104" s="25" t="str" cm="1">
        <f t="array" ref="K104">IF(
  ISNUMBER(DATEVALUE(A104)),
  TEXT(DATEVALUE(A104),"yyyy-mm-dd"),
  IFERROR(
    TEXT(INDEX($A$2:$A$301,MATCH(1,
      ($B$2:$B$301=B104) * ($C$2:$C$301=C104) * ($D$2:$D$301=D104) * ($E$2:$E$301=E104) *
      ($F$2:$F$301=F104) * ($G$2:$G$301=G104) * ($H$2:$H$301=H104) * ($I$2:$I$301=I104) *
      ($J$2:$J$301=J104),0)),"yyyy-mm-dd"),
    "Perlu Klarifikasi"
  )
)</f>
        <v>2024-01-26</v>
      </c>
      <c r="L104" t="str" cm="1">
        <f t="array" ref="L104">IF(
  E104&lt;&gt;"Evening",
  E104,
  IFERROR(
    INDEX($E$2:$E$301, SMALL(
      IF(
        ($B$2:$B$301=B104) * ($C$2:$C$301=C104) * ($D$2:$D$301=D104) *
        ($F$2:$F$301=F104) * ($G$2:$G$301=G104) * ($H$2:$H$301=H104) * ($I$2:$I$301=I104) *
        ($J$2:$J$301=J104) * ($K$2:$K$301=K104) * ($E$2:$E$301&lt;&gt;"Evening"),
        ROW($E$2:$E$301)-ROW($E$2)+1,
        ""
      ),
    1)),
    "Night"
  )
)</f>
        <v>Night</v>
      </c>
    </row>
    <row r="105" spans="1:12" x14ac:dyDescent="0.3">
      <c r="A105" s="25" t="s">
        <v>78</v>
      </c>
      <c r="B105" t="s">
        <v>34</v>
      </c>
      <c r="C105" t="s">
        <v>25</v>
      </c>
      <c r="D105" t="s">
        <v>22</v>
      </c>
      <c r="E105" t="s">
        <v>23</v>
      </c>
      <c r="F105">
        <v>7640</v>
      </c>
      <c r="G105">
        <v>2928</v>
      </c>
      <c r="H105">
        <v>7.8</v>
      </c>
      <c r="I105">
        <v>0.93</v>
      </c>
      <c r="J105">
        <v>6.87</v>
      </c>
      <c r="K105" s="25" t="str" cm="1">
        <f t="array" ref="K105">IF(
  ISNUMBER(DATEVALUE(A105)),
  TEXT(DATEVALUE(A105),"yyyy-mm-dd"),
  IFERROR(
    TEXT(INDEX($A$2:$A$301,MATCH(1,
      ($B$2:$B$301=B105) * ($C$2:$C$301=C105) * ($D$2:$D$301=D105) * ($E$2:$E$301=E105) *
      ($F$2:$F$301=F105) * ($G$2:$G$301=G105) * ($H$2:$H$301=H105) * ($I$2:$I$301=I105) *
      ($J$2:$J$301=J105),0)),"yyyy-mm-dd"),
    "Perlu Klarifikasi"
  )
)</f>
        <v>2024-01-26</v>
      </c>
      <c r="L105" t="str" cm="1">
        <f t="array" ref="L105">IF(
  E105&lt;&gt;"Evening",
  E105,
  IFERROR(
    INDEX($E$2:$E$301, SMALL(
      IF(
        ($B$2:$B$301=B105) * ($C$2:$C$301=C105) * ($D$2:$D$301=D105) *
        ($F$2:$F$301=F105) * ($G$2:$G$301=G105) * ($H$2:$H$301=H105) * ($I$2:$I$301=I105) *
        ($J$2:$J$301=J105) * ($K$2:$K$301=K105) * ($E$2:$E$301&lt;&gt;"Evening"),
        ROW($E$2:$E$301)-ROW($E$2)+1,
        ""
      ),
    1)),
    "Night"
  )
)</f>
        <v>Night</v>
      </c>
    </row>
    <row r="106" spans="1:12" x14ac:dyDescent="0.3">
      <c r="A106" s="25" t="s">
        <v>78</v>
      </c>
      <c r="B106" t="s">
        <v>34</v>
      </c>
      <c r="C106" t="s">
        <v>25</v>
      </c>
      <c r="D106" t="s">
        <v>22</v>
      </c>
      <c r="E106" t="s">
        <v>23</v>
      </c>
      <c r="F106">
        <v>7640</v>
      </c>
      <c r="G106">
        <v>2928</v>
      </c>
      <c r="H106">
        <v>7.8</v>
      </c>
      <c r="I106">
        <v>0.93</v>
      </c>
      <c r="J106">
        <v>6.87</v>
      </c>
      <c r="K106" s="25" t="str" cm="1">
        <f t="array" ref="K106">IF(
  ISNUMBER(DATEVALUE(A106)),
  TEXT(DATEVALUE(A106),"yyyy-mm-dd"),
  IFERROR(
    TEXT(INDEX($A$2:$A$301,MATCH(1,
      ($B$2:$B$301=B106) * ($C$2:$C$301=C106) * ($D$2:$D$301=D106) * ($E$2:$E$301=E106) *
      ($F$2:$F$301=F106) * ($G$2:$G$301=G106) * ($H$2:$H$301=H106) * ($I$2:$I$301=I106) *
      ($J$2:$J$301=J106),0)),"yyyy-mm-dd"),
    "Perlu Klarifikasi"
  )
)</f>
        <v>2024-01-26</v>
      </c>
      <c r="L106" t="str" cm="1">
        <f t="array" ref="L106">IF(
  E106&lt;&gt;"Evening",
  E106,
  IFERROR(
    INDEX($E$2:$E$301, SMALL(
      IF(
        ($B$2:$B$301=B106) * ($C$2:$C$301=C106) * ($D$2:$D$301=D106) *
        ($F$2:$F$301=F106) * ($G$2:$G$301=G106) * ($H$2:$H$301=H106) * ($I$2:$I$301=I106) *
        ($J$2:$J$301=J106) * ($K$2:$K$301=K106) * ($E$2:$E$301&lt;&gt;"Evening"),
        ROW($E$2:$E$301)-ROW($E$2)+1,
        ""
      ),
    1)),
    "Night"
  )
)</f>
        <v>Night</v>
      </c>
    </row>
    <row r="107" spans="1:12" x14ac:dyDescent="0.3">
      <c r="A107" s="25" t="s">
        <v>84</v>
      </c>
      <c r="B107" t="s">
        <v>29</v>
      </c>
      <c r="C107" t="s">
        <v>25</v>
      </c>
      <c r="D107" t="s">
        <v>26</v>
      </c>
      <c r="E107" t="s">
        <v>23</v>
      </c>
      <c r="F107">
        <v>3761</v>
      </c>
      <c r="G107">
        <v>658</v>
      </c>
      <c r="H107">
        <v>9.94</v>
      </c>
      <c r="I107">
        <v>1.99</v>
      </c>
      <c r="J107">
        <v>7.95</v>
      </c>
      <c r="K107" s="25" t="str" cm="1">
        <f t="array" ref="K107">IF(
  ISNUMBER(DATEVALUE(A107)),
  TEXT(DATEVALUE(A107),"yyyy-mm-dd"),
  IFERROR(
    TEXT(INDEX($A$2:$A$301,MATCH(1,
      ($B$2:$B$301=B107) * ($C$2:$C$301=C107) * ($D$2:$D$301=D107) * ($E$2:$E$301=E107) *
      ($F$2:$F$301=F107) * ($G$2:$G$301=G107) * ($H$2:$H$301=H107) * ($I$2:$I$301=I107) *
      ($J$2:$J$301=J107),0)),"yyyy-mm-dd"),
    "Perlu Klarifikasi"
  )
)</f>
        <v>2024-01-27</v>
      </c>
      <c r="L107" t="str" cm="1">
        <f t="array" ref="L107">IF(
  E107&lt;&gt;"Evening",
  E107,
  IFERROR(
    INDEX($E$2:$E$301, SMALL(
      IF(
        ($B$2:$B$301=B107) * ($C$2:$C$301=C107) * ($D$2:$D$301=D107) *
        ($F$2:$F$301=F107) * ($G$2:$G$301=G107) * ($H$2:$H$301=H107) * ($I$2:$I$301=I107) *
        ($J$2:$J$301=J107) * ($K$2:$K$301=K107) * ($E$2:$E$301&lt;&gt;"Evening"),
        ROW($E$2:$E$301)-ROW($E$2)+1,
        ""
      ),
    1)),
    "Night"
  )
)</f>
        <v>Night</v>
      </c>
    </row>
    <row r="108" spans="1:12" x14ac:dyDescent="0.3">
      <c r="A108" s="25" t="s">
        <v>84</v>
      </c>
      <c r="B108" t="s">
        <v>29</v>
      </c>
      <c r="C108" t="s">
        <v>25</v>
      </c>
      <c r="D108" t="s">
        <v>26</v>
      </c>
      <c r="E108" s="22" t="s">
        <v>32</v>
      </c>
      <c r="F108">
        <v>3761</v>
      </c>
      <c r="G108">
        <v>658</v>
      </c>
      <c r="H108">
        <v>9.94</v>
      </c>
      <c r="I108">
        <v>1.99</v>
      </c>
      <c r="J108">
        <v>7.95</v>
      </c>
      <c r="K108" s="25" t="str" cm="1">
        <f t="array" ref="K108">IF(
  ISNUMBER(DATEVALUE(A108)),
  TEXT(DATEVALUE(A108),"yyyy-mm-dd"),
  IFERROR(
    TEXT(INDEX($A$2:$A$301,MATCH(1,
      ($B$2:$B$301=B108) * ($C$2:$C$301=C108) * ($D$2:$D$301=D108) * ($E$2:$E$301=E108) *
      ($F$2:$F$301=F108) * ($G$2:$G$301=G108) * ($H$2:$H$301=H108) * ($I$2:$I$301=I108) *
      ($J$2:$J$301=J108),0)),"yyyy-mm-dd"),
    "Perlu Klarifikasi"
  )
)</f>
        <v>2024-01-27</v>
      </c>
      <c r="L108" t="str" cm="1">
        <f t="array" ref="L108">IF(
  E108&lt;&gt;"Evening",
  E108,
  IFERROR(
    INDEX($E$2:$E$301, SMALL(
      IF(
        ($B$2:$B$301=B108) * ($C$2:$C$301=C108) * ($D$2:$D$301=D108) *
        ($F$2:$F$301=F108) * ($G$2:$G$301=G108) * ($H$2:$H$301=H108) * ($I$2:$I$301=I108) *
        ($J$2:$J$301=J108) * ($K$2:$K$301=K108) * ($E$2:$E$301&lt;&gt;"Evening"),
        ROW($E$2:$E$301)-ROW($E$2)+1,
        ""
      ),
    1)),
    "Night"
  )
)</f>
        <v>Night</v>
      </c>
    </row>
    <row r="109" spans="1:12" x14ac:dyDescent="0.3">
      <c r="A109" s="25" t="s">
        <v>84</v>
      </c>
      <c r="B109" t="s">
        <v>29</v>
      </c>
      <c r="C109" t="s">
        <v>25</v>
      </c>
      <c r="D109" t="s">
        <v>26</v>
      </c>
      <c r="E109" t="s">
        <v>23</v>
      </c>
      <c r="F109">
        <v>8898</v>
      </c>
      <c r="G109">
        <v>6758</v>
      </c>
      <c r="H109">
        <v>4.04</v>
      </c>
      <c r="I109">
        <v>1.89</v>
      </c>
      <c r="J109">
        <v>2.15</v>
      </c>
      <c r="K109" s="25" t="str" cm="1">
        <f t="array" ref="K109">IF(
  ISNUMBER(DATEVALUE(A109)),
  TEXT(DATEVALUE(A109),"yyyy-mm-dd"),
  IFERROR(
    TEXT(INDEX($A$2:$A$301,MATCH(1,
      ($B$2:$B$301=B109) * ($C$2:$C$301=C109) * ($D$2:$D$301=D109) * ($E$2:$E$301=E109) *
      ($F$2:$F$301=F109) * ($G$2:$G$301=G109) * ($H$2:$H$301=H109) * ($I$2:$I$301=I109) *
      ($J$2:$J$301=J109),0)),"yyyy-mm-dd"),
    "Perlu Klarifikasi"
  )
)</f>
        <v>2024-01-27</v>
      </c>
      <c r="L109" t="str" cm="1">
        <f t="array" ref="L109">IF(
  E109&lt;&gt;"Evening",
  E109,
  IFERROR(
    INDEX($E$2:$E$301, SMALL(
      IF(
        ($B$2:$B$301=B109) * ($C$2:$C$301=C109) * ($D$2:$D$301=D109) *
        ($F$2:$F$301=F109) * ($G$2:$G$301=G109) * ($H$2:$H$301=H109) * ($I$2:$I$301=I109) *
        ($J$2:$J$301=J109) * ($K$2:$K$301=K109) * ($E$2:$E$301&lt;&gt;"Evening"),
        ROW($E$2:$E$301)-ROW($E$2)+1,
        ""
      ),
    1)),
    "Night"
  )
)</f>
        <v>Night</v>
      </c>
    </row>
    <row r="110" spans="1:12" x14ac:dyDescent="0.3">
      <c r="A110" s="25" t="s">
        <v>49</v>
      </c>
      <c r="B110" t="s">
        <v>29</v>
      </c>
      <c r="C110" t="s">
        <v>25</v>
      </c>
      <c r="D110" t="s">
        <v>26</v>
      </c>
      <c r="E110" t="s">
        <v>23</v>
      </c>
      <c r="F110">
        <v>8058</v>
      </c>
      <c r="G110">
        <v>566</v>
      </c>
      <c r="H110">
        <v>4.13</v>
      </c>
      <c r="I110">
        <v>1.05</v>
      </c>
      <c r="J110">
        <v>3.08</v>
      </c>
      <c r="K110" s="25" t="str" cm="1">
        <f t="array" ref="K110">IF(
  ISNUMBER(DATEVALUE(A110)),
  TEXT(DATEVALUE(A110),"yyyy-mm-dd"),
  IFERROR(
    TEXT(INDEX($A$2:$A$301,MATCH(1,
      ($B$2:$B$301=B110) * ($C$2:$C$301=C110) * ($D$2:$D$301=D110) * ($E$2:$E$301=E110) *
      ($F$2:$F$301=F110) * ($G$2:$G$301=G110) * ($H$2:$H$301=H110) * ($I$2:$I$301=I110) *
      ($J$2:$J$301=J110),0)),"yyyy-mm-dd"),
    "Perlu Klarifikasi"
  )
)</f>
        <v>2024-01-28</v>
      </c>
      <c r="L110" t="str" cm="1">
        <f t="array" ref="L110">IF(
  E110&lt;&gt;"Evening",
  E110,
  IFERROR(
    INDEX($E$2:$E$301, SMALL(
      IF(
        ($B$2:$B$301=B110) * ($C$2:$C$301=C110) * ($D$2:$D$301=D110) *
        ($F$2:$F$301=F110) * ($G$2:$G$301=G110) * ($H$2:$H$301=H110) * ($I$2:$I$301=I110) *
        ($J$2:$J$301=J110) * ($K$2:$K$301=K110) * ($E$2:$E$301&lt;&gt;"Evening"),
        ROW($E$2:$E$301)-ROW($E$2)+1,
        ""
      ),
    1)),
    "Night"
  )
)</f>
        <v>Night</v>
      </c>
    </row>
    <row r="111" spans="1:12" x14ac:dyDescent="0.3">
      <c r="A111" s="25" t="s">
        <v>49</v>
      </c>
      <c r="B111" t="s">
        <v>29</v>
      </c>
      <c r="C111" t="s">
        <v>25</v>
      </c>
      <c r="D111" t="s">
        <v>26</v>
      </c>
      <c r="E111" t="s">
        <v>23</v>
      </c>
      <c r="F111">
        <v>8058</v>
      </c>
      <c r="G111">
        <v>566</v>
      </c>
      <c r="H111">
        <v>4.13</v>
      </c>
      <c r="I111">
        <v>1.05</v>
      </c>
      <c r="J111">
        <v>3.08</v>
      </c>
      <c r="K111" s="25" t="str" cm="1">
        <f t="array" ref="K111">IF(
  ISNUMBER(DATEVALUE(A111)),
  TEXT(DATEVALUE(A111),"yyyy-mm-dd"),
  IFERROR(
    TEXT(INDEX($A$2:$A$301,MATCH(1,
      ($B$2:$B$301=B111) * ($C$2:$C$301=C111) * ($D$2:$D$301=D111) * ($E$2:$E$301=E111) *
      ($F$2:$F$301=F111) * ($G$2:$G$301=G111) * ($H$2:$H$301=H111) * ($I$2:$I$301=I111) *
      ($J$2:$J$301=J111),0)),"yyyy-mm-dd"),
    "Perlu Klarifikasi"
  )
)</f>
        <v>2024-01-28</v>
      </c>
      <c r="L111" t="str" cm="1">
        <f t="array" ref="L111">IF(
  E111&lt;&gt;"Evening",
  E111,
  IFERROR(
    INDEX($E$2:$E$301, SMALL(
      IF(
        ($B$2:$B$301=B111) * ($C$2:$C$301=C111) * ($D$2:$D$301=D111) *
        ($F$2:$F$301=F111) * ($G$2:$G$301=G111) * ($H$2:$H$301=H111) * ($I$2:$I$301=I111) *
        ($J$2:$J$301=J111) * ($K$2:$K$301=K111) * ($E$2:$E$301&lt;&gt;"Evening"),
        ROW($E$2:$E$301)-ROW($E$2)+1,
        ""
      ),
    1)),
    "Night"
  )
)</f>
        <v>Night</v>
      </c>
    </row>
    <row r="112" spans="1:12" x14ac:dyDescent="0.3">
      <c r="A112" s="25" t="s">
        <v>49</v>
      </c>
      <c r="B112" t="s">
        <v>29</v>
      </c>
      <c r="C112" t="s">
        <v>25</v>
      </c>
      <c r="D112" t="s">
        <v>26</v>
      </c>
      <c r="E112" t="s">
        <v>23</v>
      </c>
      <c r="F112">
        <v>8058</v>
      </c>
      <c r="G112">
        <v>566</v>
      </c>
      <c r="H112">
        <v>4.13</v>
      </c>
      <c r="I112">
        <v>1.05</v>
      </c>
      <c r="J112">
        <v>3.08</v>
      </c>
      <c r="K112" s="25" t="str" cm="1">
        <f t="array" ref="K112">IF(
  ISNUMBER(DATEVALUE(A112)),
  TEXT(DATEVALUE(A112),"yyyy-mm-dd"),
  IFERROR(
    TEXT(INDEX($A$2:$A$301,MATCH(1,
      ($B$2:$B$301=B112) * ($C$2:$C$301=C112) * ($D$2:$D$301=D112) * ($E$2:$E$301=E112) *
      ($F$2:$F$301=F112) * ($G$2:$G$301=G112) * ($H$2:$H$301=H112) * ($I$2:$I$301=I112) *
      ($J$2:$J$301=J112),0)),"yyyy-mm-dd"),
    "Perlu Klarifikasi"
  )
)</f>
        <v>2024-01-28</v>
      </c>
      <c r="L112" t="str" cm="1">
        <f t="array" ref="L112">IF(
  E112&lt;&gt;"Evening",
  E112,
  IFERROR(
    INDEX($E$2:$E$301, SMALL(
      IF(
        ($B$2:$B$301=B112) * ($C$2:$C$301=C112) * ($D$2:$D$301=D112) *
        ($F$2:$F$301=F112) * ($G$2:$G$301=G112) * ($H$2:$H$301=H112) * ($I$2:$I$301=I112) *
        ($J$2:$J$301=J112) * ($K$2:$K$301=K112) * ($E$2:$E$301&lt;&gt;"Evening"),
        ROW($E$2:$E$301)-ROW($E$2)+1,
        ""
      ),
    1)),
    "Night"
  )
)</f>
        <v>Night</v>
      </c>
    </row>
    <row r="113" spans="1:12" x14ac:dyDescent="0.3">
      <c r="A113" s="25" t="s">
        <v>93</v>
      </c>
      <c r="B113" t="s">
        <v>34</v>
      </c>
      <c r="C113" t="s">
        <v>25</v>
      </c>
      <c r="D113" t="s">
        <v>26</v>
      </c>
      <c r="E113" t="s">
        <v>23</v>
      </c>
      <c r="F113">
        <v>7822</v>
      </c>
      <c r="G113">
        <v>5097</v>
      </c>
      <c r="H113">
        <v>4.3600000000000003</v>
      </c>
      <c r="I113">
        <v>0.59</v>
      </c>
      <c r="J113">
        <v>3.77</v>
      </c>
      <c r="K113" s="25" t="str" cm="1">
        <f t="array" ref="K113">IF(
  ISNUMBER(DATEVALUE(A113)),
  TEXT(DATEVALUE(A113),"yyyy-mm-dd"),
  IFERROR(
    TEXT(INDEX($A$2:$A$301,MATCH(1,
      ($B$2:$B$301=B113) * ($C$2:$C$301=C113) * ($D$2:$D$301=D113) * ($E$2:$E$301=E113) *
      ($F$2:$F$301=F113) * ($G$2:$G$301=G113) * ($H$2:$H$301=H113) * ($I$2:$I$301=I113) *
      ($J$2:$J$301=J113),0)),"yyyy-mm-dd"),
    "Perlu Klarifikasi"
  )
)</f>
        <v>2024-01-29</v>
      </c>
      <c r="L113" t="str" cm="1">
        <f t="array" ref="L113">IF(
  E113&lt;&gt;"Evening",
  E113,
  IFERROR(
    INDEX($E$2:$E$301, SMALL(
      IF(
        ($B$2:$B$301=B113) * ($C$2:$C$301=C113) * ($D$2:$D$301=D113) *
        ($F$2:$F$301=F113) * ($G$2:$G$301=G113) * ($H$2:$H$301=H113) * ($I$2:$I$301=I113) *
        ($J$2:$J$301=J113) * ($K$2:$K$301=K113) * ($E$2:$E$301&lt;&gt;"Evening"),
        ROW($E$2:$E$301)-ROW($E$2)+1,
        ""
      ),
    1)),
    "Night"
  )
)</f>
        <v>Night</v>
      </c>
    </row>
    <row r="114" spans="1:12" x14ac:dyDescent="0.3">
      <c r="A114" s="25" t="s">
        <v>93</v>
      </c>
      <c r="B114" t="s">
        <v>34</v>
      </c>
      <c r="C114" t="s">
        <v>25</v>
      </c>
      <c r="D114" t="s">
        <v>26</v>
      </c>
      <c r="E114" t="s">
        <v>23</v>
      </c>
      <c r="F114">
        <v>7822</v>
      </c>
      <c r="G114">
        <v>5097</v>
      </c>
      <c r="H114">
        <v>4.3600000000000003</v>
      </c>
      <c r="I114">
        <v>0.59</v>
      </c>
      <c r="J114">
        <v>3.77</v>
      </c>
      <c r="K114" s="25" t="str" cm="1">
        <f t="array" ref="K114">IF(
  ISNUMBER(DATEVALUE(A114)),
  TEXT(DATEVALUE(A114),"yyyy-mm-dd"),
  IFERROR(
    TEXT(INDEX($A$2:$A$301,MATCH(1,
      ($B$2:$B$301=B114) * ($C$2:$C$301=C114) * ($D$2:$D$301=D114) * ($E$2:$E$301=E114) *
      ($F$2:$F$301=F114) * ($G$2:$G$301=G114) * ($H$2:$H$301=H114) * ($I$2:$I$301=I114) *
      ($J$2:$J$301=J114),0)),"yyyy-mm-dd"),
    "Perlu Klarifikasi"
  )
)</f>
        <v>2024-01-29</v>
      </c>
      <c r="L114" t="str" cm="1">
        <f t="array" ref="L114">IF(
  E114&lt;&gt;"Evening",
  E114,
  IFERROR(
    INDEX($E$2:$E$301, SMALL(
      IF(
        ($B$2:$B$301=B114) * ($C$2:$C$301=C114) * ($D$2:$D$301=D114) *
        ($F$2:$F$301=F114) * ($G$2:$G$301=G114) * ($H$2:$H$301=H114) * ($I$2:$I$301=I114) *
        ($J$2:$J$301=J114) * ($K$2:$K$301=K114) * ($E$2:$E$301&lt;&gt;"Evening"),
        ROW($E$2:$E$301)-ROW($E$2)+1,
        ""
      ),
    1)),
    "Night"
  )
)</f>
        <v>Night</v>
      </c>
    </row>
    <row r="115" spans="1:12" x14ac:dyDescent="0.3">
      <c r="A115" s="25" t="s">
        <v>86</v>
      </c>
      <c r="B115" t="s">
        <v>29</v>
      </c>
      <c r="C115" t="s">
        <v>25</v>
      </c>
      <c r="D115" t="s">
        <v>22</v>
      </c>
      <c r="E115" t="s">
        <v>27</v>
      </c>
      <c r="F115">
        <v>8329</v>
      </c>
      <c r="G115">
        <v>2392</v>
      </c>
      <c r="H115">
        <v>4.1900000000000004</v>
      </c>
      <c r="I115">
        <v>1.1499999999999999</v>
      </c>
      <c r="J115">
        <v>3.04</v>
      </c>
      <c r="K115" s="25" t="str" cm="1">
        <f t="array" ref="K115">IF(
  ISNUMBER(DATEVALUE(A115)),
  TEXT(DATEVALUE(A115),"yyyy-mm-dd"),
  IFERROR(
    TEXT(INDEX($A$2:$A$301,MATCH(1,
      ($B$2:$B$301=B115) * ($C$2:$C$301=C115) * ($D$2:$D$301=D115) * ($E$2:$E$301=E115) *
      ($F$2:$F$301=F115) * ($G$2:$G$301=G115) * ($H$2:$H$301=H115) * ($I$2:$I$301=I115) *
      ($J$2:$J$301=J115),0)),"yyyy-mm-dd"),
    "Perlu Klarifikasi"
  )
)</f>
        <v>2024-01-30</v>
      </c>
      <c r="L115" t="str" cm="1">
        <f t="array" ref="L115">IF(
  E115&lt;&gt;"Evening",
  E115,
  IFERROR(
    INDEX($E$2:$E$301, SMALL(
      IF(
        ($B$2:$B$301=B115) * ($C$2:$C$301=C115) * ($D$2:$D$301=D115) *
        ($F$2:$F$301=F115) * ($G$2:$G$301=G115) * ($H$2:$H$301=H115) * ($I$2:$I$301=I115) *
        ($J$2:$J$301=J115) * ($K$2:$K$301=K115) * ($E$2:$E$301&lt;&gt;"Evening"),
        ROW($E$2:$E$301)-ROW($E$2)+1,
        ""
      ),
    1)),
    "Night"
  )
)</f>
        <v>Day</v>
      </c>
    </row>
    <row r="116" spans="1:12" x14ac:dyDescent="0.3">
      <c r="A116" s="25" t="s">
        <v>58</v>
      </c>
      <c r="B116" t="s">
        <v>34</v>
      </c>
      <c r="C116" t="s">
        <v>21</v>
      </c>
      <c r="D116" t="s">
        <v>26</v>
      </c>
      <c r="E116" t="s">
        <v>23</v>
      </c>
      <c r="F116">
        <v>3030</v>
      </c>
      <c r="G116">
        <v>364</v>
      </c>
      <c r="H116">
        <v>9.1199999999999992</v>
      </c>
      <c r="I116">
        <v>1.56</v>
      </c>
      <c r="J116">
        <v>7.56</v>
      </c>
      <c r="K116" s="25" t="str" cm="1">
        <f t="array" ref="K116">IF(
  ISNUMBER(DATEVALUE(A116)),
  TEXT(DATEVALUE(A116),"yyyy-mm-dd"),
  IFERROR(
    TEXT(INDEX($A$2:$A$301,MATCH(1,
      ($B$2:$B$301=B116) * ($C$2:$C$301=C116) * ($D$2:$D$301=D116) * ($E$2:$E$301=E116) *
      ($F$2:$F$301=F116) * ($G$2:$G$301=G116) * ($H$2:$H$301=H116) * ($I$2:$I$301=I116) *
      ($J$2:$J$301=J116),0)),"yyyy-mm-dd"),
    "Perlu Klarifikasi"
  )
)</f>
        <v>2024-01-31</v>
      </c>
      <c r="L116" t="str" cm="1">
        <f t="array" ref="L116">IF(
  E116&lt;&gt;"Evening",
  E116,
  IFERROR(
    INDEX($E$2:$E$301, SMALL(
      IF(
        ($B$2:$B$301=B116) * ($C$2:$C$301=C116) * ($D$2:$D$301=D116) *
        ($F$2:$F$301=F116) * ($G$2:$G$301=G116) * ($H$2:$H$301=H116) * ($I$2:$I$301=I116) *
        ($J$2:$J$301=J116) * ($K$2:$K$301=K116) * ($E$2:$E$301&lt;&gt;"Evening"),
        ROW($E$2:$E$301)-ROW($E$2)+1,
        ""
      ),
    1)),
    "Night"
  )
)</f>
        <v>Night</v>
      </c>
    </row>
    <row r="117" spans="1:12" x14ac:dyDescent="0.3">
      <c r="A117" s="25" t="s">
        <v>58</v>
      </c>
      <c r="B117" t="s">
        <v>29</v>
      </c>
      <c r="C117" t="s">
        <v>21</v>
      </c>
      <c r="D117" t="s">
        <v>26</v>
      </c>
      <c r="E117" t="s">
        <v>27</v>
      </c>
      <c r="F117">
        <v>1919</v>
      </c>
      <c r="G117">
        <v>4940</v>
      </c>
      <c r="H117">
        <v>8.64</v>
      </c>
      <c r="I117">
        <v>1.86</v>
      </c>
      <c r="J117">
        <v>6.78</v>
      </c>
      <c r="K117" s="25" t="str" cm="1">
        <f t="array" ref="K117">IF(
  ISNUMBER(DATEVALUE(A117)),
  TEXT(DATEVALUE(A117),"yyyy-mm-dd"),
  IFERROR(
    TEXT(INDEX($A$2:$A$301,MATCH(1,
      ($B$2:$B$301=B117) * ($C$2:$C$301=C117) * ($D$2:$D$301=D117) * ($E$2:$E$301=E117) *
      ($F$2:$F$301=F117) * ($G$2:$G$301=G117) * ($H$2:$H$301=H117) * ($I$2:$I$301=I117) *
      ($J$2:$J$301=J117),0)),"yyyy-mm-dd"),
    "Perlu Klarifikasi"
  )
)</f>
        <v>2024-01-31</v>
      </c>
      <c r="L117" t="str" cm="1">
        <f t="array" ref="L117">IF(
  E117&lt;&gt;"Evening",
  E117,
  IFERROR(
    INDEX($E$2:$E$301, SMALL(
      IF(
        ($B$2:$B$301=B117) * ($C$2:$C$301=C117) * ($D$2:$D$301=D117) *
        ($F$2:$F$301=F117) * ($G$2:$G$301=G117) * ($H$2:$H$301=H117) * ($I$2:$I$301=I117) *
        ($J$2:$J$301=J117) * ($K$2:$K$301=K117) * ($E$2:$E$301&lt;&gt;"Evening"),
        ROW($E$2:$E$301)-ROW($E$2)+1,
        ""
      ),
    1)),
    "Night"
  )
)</f>
        <v>Day</v>
      </c>
    </row>
    <row r="118" spans="1:12" x14ac:dyDescent="0.3">
      <c r="A118" s="25" t="s">
        <v>58</v>
      </c>
      <c r="B118" t="s">
        <v>34</v>
      </c>
      <c r="C118" t="s">
        <v>30</v>
      </c>
      <c r="D118" t="s">
        <v>26</v>
      </c>
      <c r="E118" t="s">
        <v>23</v>
      </c>
      <c r="F118">
        <v>359</v>
      </c>
      <c r="G118">
        <v>1439</v>
      </c>
      <c r="H118">
        <v>6.72</v>
      </c>
      <c r="I118">
        <v>0.56000000000000005</v>
      </c>
      <c r="J118">
        <v>6.16</v>
      </c>
      <c r="K118" s="25" t="str" cm="1">
        <f t="array" ref="K118">IF(
  ISNUMBER(DATEVALUE(A118)),
  TEXT(DATEVALUE(A118),"yyyy-mm-dd"),
  IFERROR(
    TEXT(INDEX($A$2:$A$301,MATCH(1,
      ($B$2:$B$301=B118) * ($C$2:$C$301=C118) * ($D$2:$D$301=D118) * ($E$2:$E$301=E118) *
      ($F$2:$F$301=F118) * ($G$2:$G$301=G118) * ($H$2:$H$301=H118) * ($I$2:$I$301=I118) *
      ($J$2:$J$301=J118),0)),"yyyy-mm-dd"),
    "Perlu Klarifikasi"
  )
)</f>
        <v>2024-01-31</v>
      </c>
      <c r="L118" t="str" cm="1">
        <f t="array" ref="L118">IF(
  E118&lt;&gt;"Evening",
  E118,
  IFERROR(
    INDEX($E$2:$E$301, SMALL(
      IF(
        ($B$2:$B$301=B118) * ($C$2:$C$301=C118) * ($D$2:$D$301=D118) *
        ($F$2:$F$301=F118) * ($G$2:$G$301=G118) * ($H$2:$H$301=H118) * ($I$2:$I$301=I118) *
        ($J$2:$J$301=J118) * ($K$2:$K$301=K118) * ($E$2:$E$301&lt;&gt;"Evening"),
        ROW($E$2:$E$301)-ROW($E$2)+1,
        ""
      ),
    1)),
    "Night"
  )
)</f>
        <v>Night</v>
      </c>
    </row>
    <row r="119" spans="1:12" x14ac:dyDescent="0.3">
      <c r="A119" s="25" t="s">
        <v>58</v>
      </c>
      <c r="B119" t="s">
        <v>29</v>
      </c>
      <c r="C119" t="s">
        <v>21</v>
      </c>
      <c r="D119" t="s">
        <v>26</v>
      </c>
      <c r="E119" t="s">
        <v>27</v>
      </c>
      <c r="F119">
        <v>1919</v>
      </c>
      <c r="G119">
        <v>4940</v>
      </c>
      <c r="H119">
        <v>8.64</v>
      </c>
      <c r="I119">
        <v>1.86</v>
      </c>
      <c r="J119">
        <v>6.78</v>
      </c>
      <c r="K119" s="25" t="str" cm="1">
        <f t="array" ref="K119">IF(
  ISNUMBER(DATEVALUE(A119)),
  TEXT(DATEVALUE(A119),"yyyy-mm-dd"),
  IFERROR(
    TEXT(INDEX($A$2:$A$301,MATCH(1,
      ($B$2:$B$301=B119) * ($C$2:$C$301=C119) * ($D$2:$D$301=D119) * ($E$2:$E$301=E119) *
      ($F$2:$F$301=F119) * ($G$2:$G$301=G119) * ($H$2:$H$301=H119) * ($I$2:$I$301=I119) *
      ($J$2:$J$301=J119),0)),"yyyy-mm-dd"),
    "Perlu Klarifikasi"
  )
)</f>
        <v>2024-01-31</v>
      </c>
      <c r="L119" t="str" cm="1">
        <f t="array" ref="L119">IF(
  E119&lt;&gt;"Evening",
  E119,
  IFERROR(
    INDEX($E$2:$E$301, SMALL(
      IF(
        ($B$2:$B$301=B119) * ($C$2:$C$301=C119) * ($D$2:$D$301=D119) *
        ($F$2:$F$301=F119) * ($G$2:$G$301=G119) * ($H$2:$H$301=H119) * ($I$2:$I$301=I119) *
        ($J$2:$J$301=J119) * ($K$2:$K$301=K119) * ($E$2:$E$301&lt;&gt;"Evening"),
        ROW($E$2:$E$301)-ROW($E$2)+1,
        ""
      ),
    1)),
    "Night"
  )
)</f>
        <v>Day</v>
      </c>
    </row>
    <row r="120" spans="1:12" x14ac:dyDescent="0.3">
      <c r="A120" s="25" t="s">
        <v>58</v>
      </c>
      <c r="B120" t="s">
        <v>34</v>
      </c>
      <c r="C120" t="s">
        <v>30</v>
      </c>
      <c r="D120" t="s">
        <v>26</v>
      </c>
      <c r="E120" t="s">
        <v>23</v>
      </c>
      <c r="F120">
        <v>359</v>
      </c>
      <c r="G120">
        <v>1439</v>
      </c>
      <c r="H120">
        <v>6.72</v>
      </c>
      <c r="I120">
        <v>0.56000000000000005</v>
      </c>
      <c r="J120">
        <v>6.16</v>
      </c>
      <c r="K120" s="25" t="str" cm="1">
        <f t="array" ref="K120">IF(
  ISNUMBER(DATEVALUE(A120)),
  TEXT(DATEVALUE(A120),"yyyy-mm-dd"),
  IFERROR(
    TEXT(INDEX($A$2:$A$301,MATCH(1,
      ($B$2:$B$301=B120) * ($C$2:$C$301=C120) * ($D$2:$D$301=D120) * ($E$2:$E$301=E120) *
      ($F$2:$F$301=F120) * ($G$2:$G$301=G120) * ($H$2:$H$301=H120) * ($I$2:$I$301=I120) *
      ($J$2:$J$301=J120),0)),"yyyy-mm-dd"),
    "Perlu Klarifikasi"
  )
)</f>
        <v>2024-01-31</v>
      </c>
      <c r="L120" t="str" cm="1">
        <f t="array" ref="L120">IF(
  E120&lt;&gt;"Evening",
  E120,
  IFERROR(
    INDEX($E$2:$E$301, SMALL(
      IF(
        ($B$2:$B$301=B120) * ($C$2:$C$301=C120) * ($D$2:$D$301=D120) *
        ($F$2:$F$301=F120) * ($G$2:$G$301=G120) * ($H$2:$H$301=H120) * ($I$2:$I$301=I120) *
        ($J$2:$J$301=J120) * ($K$2:$K$301=K120) * ($E$2:$E$301&lt;&gt;"Evening"),
        ROW($E$2:$E$301)-ROW($E$2)+1,
        ""
      ),
    1)),
    "Night"
  )
)</f>
        <v>Night</v>
      </c>
    </row>
    <row r="121" spans="1:12" x14ac:dyDescent="0.3">
      <c r="A121" s="25" t="s">
        <v>58</v>
      </c>
      <c r="B121" t="s">
        <v>34</v>
      </c>
      <c r="C121" t="s">
        <v>30</v>
      </c>
      <c r="D121" t="s">
        <v>26</v>
      </c>
      <c r="E121" t="s">
        <v>23</v>
      </c>
      <c r="F121">
        <v>359</v>
      </c>
      <c r="G121">
        <v>1439</v>
      </c>
      <c r="H121">
        <v>6.72</v>
      </c>
      <c r="I121">
        <v>0.56000000000000005</v>
      </c>
      <c r="J121">
        <v>6.16</v>
      </c>
      <c r="K121" s="25" t="str" cm="1">
        <f t="array" ref="K121">IF(
  ISNUMBER(DATEVALUE(A121)),
  TEXT(DATEVALUE(A121),"yyyy-mm-dd"),
  IFERROR(
    TEXT(INDEX($A$2:$A$301,MATCH(1,
      ($B$2:$B$301=B121) * ($C$2:$C$301=C121) * ($D$2:$D$301=D121) * ($E$2:$E$301=E121) *
      ($F$2:$F$301=F121) * ($G$2:$G$301=G121) * ($H$2:$H$301=H121) * ($I$2:$I$301=I121) *
      ($J$2:$J$301=J121),0)),"yyyy-mm-dd"),
    "Perlu Klarifikasi"
  )
)</f>
        <v>2024-01-31</v>
      </c>
      <c r="L121" t="str" cm="1">
        <f t="array" ref="L121">IF(
  E121&lt;&gt;"Evening",
  E121,
  IFERROR(
    INDEX($E$2:$E$301, SMALL(
      IF(
        ($B$2:$B$301=B121) * ($C$2:$C$301=C121) * ($D$2:$D$301=D121) *
        ($F$2:$F$301=F121) * ($G$2:$G$301=G121) * ($H$2:$H$301=H121) * ($I$2:$I$301=I121) *
        ($J$2:$J$301=J121) * ($K$2:$K$301=K121) * ($E$2:$E$301&lt;&gt;"Evening"),
        ROW($E$2:$E$301)-ROW($E$2)+1,
        ""
      ),
    1)),
    "Night"
  )
)</f>
        <v>Night</v>
      </c>
    </row>
    <row r="122" spans="1:12" x14ac:dyDescent="0.3">
      <c r="A122" s="25" t="s">
        <v>58</v>
      </c>
      <c r="B122" t="s">
        <v>34</v>
      </c>
      <c r="C122" t="s">
        <v>21</v>
      </c>
      <c r="D122" t="s">
        <v>26</v>
      </c>
      <c r="E122" t="s">
        <v>23</v>
      </c>
      <c r="F122">
        <v>3030</v>
      </c>
      <c r="G122">
        <v>364</v>
      </c>
      <c r="H122">
        <v>9.1199999999999992</v>
      </c>
      <c r="I122">
        <v>1.56</v>
      </c>
      <c r="J122">
        <v>7.56</v>
      </c>
      <c r="K122" s="25" t="str" cm="1">
        <f t="array" ref="K122">IF(
  ISNUMBER(DATEVALUE(A122)),
  TEXT(DATEVALUE(A122),"yyyy-mm-dd"),
  IFERROR(
    TEXT(INDEX($A$2:$A$301,MATCH(1,
      ($B$2:$B$301=B122) * ($C$2:$C$301=C122) * ($D$2:$D$301=D122) * ($E$2:$E$301=E122) *
      ($F$2:$F$301=F122) * ($G$2:$G$301=G122) * ($H$2:$H$301=H122) * ($I$2:$I$301=I122) *
      ($J$2:$J$301=J122),0)),"yyyy-mm-dd"),
    "Perlu Klarifikasi"
  )
)</f>
        <v>2024-01-31</v>
      </c>
      <c r="L122" t="str" cm="1">
        <f t="array" ref="L122">IF(
  E122&lt;&gt;"Evening",
  E122,
  IFERROR(
    INDEX($E$2:$E$301, SMALL(
      IF(
        ($B$2:$B$301=B122) * ($C$2:$C$301=C122) * ($D$2:$D$301=D122) *
        ($F$2:$F$301=F122) * ($G$2:$G$301=G122) * ($H$2:$H$301=H122) * ($I$2:$I$301=I122) *
        ($J$2:$J$301=J122) * ($K$2:$K$301=K122) * ($E$2:$E$301&lt;&gt;"Evening"),
        ROW($E$2:$E$301)-ROW($E$2)+1,
        ""
      ),
    1)),
    "Night"
  )
)</f>
        <v>Night</v>
      </c>
    </row>
    <row r="123" spans="1:12" x14ac:dyDescent="0.3">
      <c r="A123" s="25" t="s">
        <v>58</v>
      </c>
      <c r="B123" t="s">
        <v>29</v>
      </c>
      <c r="C123" t="s">
        <v>21</v>
      </c>
      <c r="D123" t="s">
        <v>26</v>
      </c>
      <c r="E123" t="s">
        <v>27</v>
      </c>
      <c r="F123">
        <v>1919</v>
      </c>
      <c r="G123">
        <v>4940</v>
      </c>
      <c r="H123">
        <v>8.64</v>
      </c>
      <c r="I123">
        <v>1.86</v>
      </c>
      <c r="J123">
        <v>6.78</v>
      </c>
      <c r="K123" s="25" t="str" cm="1">
        <f t="array" ref="K123">IF(
  ISNUMBER(DATEVALUE(A123)),
  TEXT(DATEVALUE(A123),"yyyy-mm-dd"),
  IFERROR(
    TEXT(INDEX($A$2:$A$301,MATCH(1,
      ($B$2:$B$301=B123) * ($C$2:$C$301=C123) * ($D$2:$D$301=D123) * ($E$2:$E$301=E123) *
      ($F$2:$F$301=F123) * ($G$2:$G$301=G123) * ($H$2:$H$301=H123) * ($I$2:$I$301=I123) *
      ($J$2:$J$301=J123),0)),"yyyy-mm-dd"),
    "Perlu Klarifikasi"
  )
)</f>
        <v>2024-01-31</v>
      </c>
      <c r="L123" t="str" cm="1">
        <f t="array" ref="L123">IF(
  E123&lt;&gt;"Evening",
  E123,
  IFERROR(
    INDEX($E$2:$E$301, SMALL(
      IF(
        ($B$2:$B$301=B123) * ($C$2:$C$301=C123) * ($D$2:$D$301=D123) *
        ($F$2:$F$301=F123) * ($G$2:$G$301=G123) * ($H$2:$H$301=H123) * ($I$2:$I$301=I123) *
        ($J$2:$J$301=J123) * ($K$2:$K$301=K123) * ($E$2:$E$301&lt;&gt;"Evening"),
        ROW($E$2:$E$301)-ROW($E$2)+1,
        ""
      ),
    1)),
    "Night"
  )
)</f>
        <v>Day</v>
      </c>
    </row>
    <row r="124" spans="1:12" x14ac:dyDescent="0.3">
      <c r="A124" s="25" t="s">
        <v>58</v>
      </c>
      <c r="B124" t="s">
        <v>34</v>
      </c>
      <c r="C124" t="s">
        <v>30</v>
      </c>
      <c r="D124" t="s">
        <v>26</v>
      </c>
      <c r="E124" t="s">
        <v>23</v>
      </c>
      <c r="F124">
        <v>359</v>
      </c>
      <c r="G124">
        <v>1439</v>
      </c>
      <c r="H124">
        <v>6.72</v>
      </c>
      <c r="I124">
        <v>0.56000000000000005</v>
      </c>
      <c r="J124">
        <v>6.16</v>
      </c>
      <c r="K124" s="25" t="str" cm="1">
        <f t="array" ref="K124">IF(
  ISNUMBER(DATEVALUE(A124)),
  TEXT(DATEVALUE(A124),"yyyy-mm-dd"),
  IFERROR(
    TEXT(INDEX($A$2:$A$301,MATCH(1,
      ($B$2:$B$301=B124) * ($C$2:$C$301=C124) * ($D$2:$D$301=D124) * ($E$2:$E$301=E124) *
      ($F$2:$F$301=F124) * ($G$2:$G$301=G124) * ($H$2:$H$301=H124) * ($I$2:$I$301=I124) *
      ($J$2:$J$301=J124),0)),"yyyy-mm-dd"),
    "Perlu Klarifikasi"
  )
)</f>
        <v>2024-01-31</v>
      </c>
      <c r="L124" t="str" cm="1">
        <f t="array" ref="L124">IF(
  E124&lt;&gt;"Evening",
  E124,
  IFERROR(
    INDEX($E$2:$E$301, SMALL(
      IF(
        ($B$2:$B$301=B124) * ($C$2:$C$301=C124) * ($D$2:$D$301=D124) *
        ($F$2:$F$301=F124) * ($G$2:$G$301=G124) * ($H$2:$H$301=H124) * ($I$2:$I$301=I124) *
        ($J$2:$J$301=J124) * ($K$2:$K$301=K124) * ($E$2:$E$301&lt;&gt;"Evening"),
        ROW($E$2:$E$301)-ROW($E$2)+1,
        ""
      ),
    1)),
    "Night"
  )
)</f>
        <v>Night</v>
      </c>
    </row>
    <row r="125" spans="1:12" x14ac:dyDescent="0.3">
      <c r="A125" s="26" t="s">
        <v>52</v>
      </c>
      <c r="B125" t="s">
        <v>34</v>
      </c>
      <c r="C125" t="s">
        <v>30</v>
      </c>
      <c r="D125" t="s">
        <v>26</v>
      </c>
      <c r="E125" t="s">
        <v>23</v>
      </c>
      <c r="F125">
        <v>1823</v>
      </c>
      <c r="G125">
        <v>5292</v>
      </c>
      <c r="H125">
        <v>7.1</v>
      </c>
      <c r="I125">
        <v>0.34</v>
      </c>
      <c r="J125">
        <v>6.76</v>
      </c>
      <c r="K125" s="25" t="str" cm="1">
        <f t="array" ref="K125">TEXT(
  MEDIAN(
    IF(
      ($B$2:$B$301=B125) * ($C$2:$C$301=C125) * ($D$2:$D$301=D125) * ($E$2:$E$301=E125) * ISNUMBER(DATEVALUE($A$2:$A$301)),
      DATEVALUE($A$2:$A$301)
    )
  ),
  "yyyy-mm-dd"
)</f>
        <v>2024-01-31</v>
      </c>
      <c r="L125" t="str" cm="1">
        <f t="array" ref="L125">IF(
  E125&lt;&gt;"Evening",
  E125,
  IFERROR(
    INDEX($E$2:$E$301, SMALL(
      IF(
        ($B$2:$B$301=B125) * ($C$2:$C$301=C125) * ($D$2:$D$301=D125) *
        ($F$2:$F$301=F125) * ($G$2:$G$301=G125) * ($H$2:$H$301=H125) * ($I$2:$I$301=I125) *
        ($J$2:$J$301=J125) * ($K$2:$K$301=K125) * ($E$2:$E$301&lt;&gt;"Evening"),
        ROW($E$2:$E$301)-ROW($E$2)+1,
        ""
      ),
    1)),
    "Night"
  )
)</f>
        <v>Night</v>
      </c>
    </row>
    <row r="126" spans="1:12" x14ac:dyDescent="0.3">
      <c r="A126" s="25" t="s">
        <v>41</v>
      </c>
      <c r="B126" t="s">
        <v>20</v>
      </c>
      <c r="C126" t="s">
        <v>25</v>
      </c>
      <c r="D126" t="s">
        <v>22</v>
      </c>
      <c r="E126" t="s">
        <v>27</v>
      </c>
      <c r="F126">
        <v>370</v>
      </c>
      <c r="G126">
        <v>4190</v>
      </c>
      <c r="H126">
        <v>5.74</v>
      </c>
      <c r="I126">
        <v>1.6</v>
      </c>
      <c r="J126">
        <v>4.1399999999999997</v>
      </c>
      <c r="K126" s="25" t="str" cm="1">
        <f t="array" ref="K126">IF(
  ISNUMBER(DATEVALUE(A126)),
  TEXT(DATEVALUE(A126),"yyyy-mm-dd"),
  IFERROR(
    TEXT(INDEX($A$2:$A$301,MATCH(1,
      ($B$2:$B$301=B126) * ($C$2:$C$301=C126) * ($D$2:$D$301=D126) * ($E$2:$E$301=E126) *
      ($F$2:$F$301=F126) * ($G$2:$G$301=G126) * ($H$2:$H$301=H126) * ($I$2:$I$301=I126) *
      ($J$2:$J$301=J126),0)),"yyyy-mm-dd"),
    "Perlu Klarifikasi"
  )
)</f>
        <v>2024-02-03</v>
      </c>
      <c r="L126" t="str" cm="1">
        <f t="array" ref="L126">IF(
  E126&lt;&gt;"Evening",
  E126,
  IFERROR(
    INDEX($E$2:$E$301, SMALL(
      IF(
        ($B$2:$B$301=B126) * ($C$2:$C$301=C126) * ($D$2:$D$301=D126) *
        ($F$2:$F$301=F126) * ($G$2:$G$301=G126) * ($H$2:$H$301=H126) * ($I$2:$I$301=I126) *
        ($J$2:$J$301=J126) * ($K$2:$K$301=K126) * ($E$2:$E$301&lt;&gt;"Evening"),
        ROW($E$2:$E$301)-ROW($E$2)+1,
        ""
      ),
    1)),
    "Night"
  )
)</f>
        <v>Day</v>
      </c>
    </row>
    <row r="127" spans="1:12" x14ac:dyDescent="0.3">
      <c r="A127" s="25" t="s">
        <v>41</v>
      </c>
      <c r="B127" t="s">
        <v>20</v>
      </c>
      <c r="C127" t="s">
        <v>25</v>
      </c>
      <c r="D127" t="s">
        <v>22</v>
      </c>
      <c r="E127" t="s">
        <v>27</v>
      </c>
      <c r="F127">
        <v>370</v>
      </c>
      <c r="G127">
        <v>4190</v>
      </c>
      <c r="H127">
        <v>5.74</v>
      </c>
      <c r="I127">
        <v>1.6</v>
      </c>
      <c r="J127">
        <v>4.1399999999999997</v>
      </c>
      <c r="K127" s="25" t="str" cm="1">
        <f t="array" ref="K127">IF(
  ISNUMBER(DATEVALUE(A127)),
  TEXT(DATEVALUE(A127),"yyyy-mm-dd"),
  IFERROR(
    TEXT(INDEX($A$2:$A$301,MATCH(1,
      ($B$2:$B$301=B127) * ($C$2:$C$301=C127) * ($D$2:$D$301=D127) * ($E$2:$E$301=E127) *
      ($F$2:$F$301=F127) * ($G$2:$G$301=G127) * ($H$2:$H$301=H127) * ($I$2:$I$301=I127) *
      ($J$2:$J$301=J127),0)),"yyyy-mm-dd"),
    "Perlu Klarifikasi"
  )
)</f>
        <v>2024-02-03</v>
      </c>
      <c r="L127" t="str" cm="1">
        <f t="array" ref="L127">IF(
  E127&lt;&gt;"Evening",
  E127,
  IFERROR(
    INDEX($E$2:$E$301, SMALL(
      IF(
        ($B$2:$B$301=B127) * ($C$2:$C$301=C127) * ($D$2:$D$301=D127) *
        ($F$2:$F$301=F127) * ($G$2:$G$301=G127) * ($H$2:$H$301=H127) * ($I$2:$I$301=I127) *
        ($J$2:$J$301=J127) * ($K$2:$K$301=K127) * ($E$2:$E$301&lt;&gt;"Evening"),
        ROW($E$2:$E$301)-ROW($E$2)+1,
        ""
      ),
    1)),
    "Night"
  )
)</f>
        <v>Day</v>
      </c>
    </row>
    <row r="128" spans="1:12" x14ac:dyDescent="0.3">
      <c r="A128" s="25" t="s">
        <v>41</v>
      </c>
      <c r="B128" t="s">
        <v>29</v>
      </c>
      <c r="C128" t="s">
        <v>25</v>
      </c>
      <c r="D128" t="s">
        <v>31</v>
      </c>
      <c r="E128" t="s">
        <v>23</v>
      </c>
      <c r="F128">
        <v>502</v>
      </c>
      <c r="G128">
        <v>4102</v>
      </c>
      <c r="H128">
        <v>5.37</v>
      </c>
      <c r="I128">
        <v>0.34</v>
      </c>
      <c r="J128">
        <v>5.03</v>
      </c>
      <c r="K128" s="25" t="str" cm="1">
        <f t="array" ref="K128">IF(
  ISNUMBER(DATEVALUE(A128)),
  TEXT(DATEVALUE(A128),"yyyy-mm-dd"),
  IFERROR(
    TEXT(INDEX($A$2:$A$301,MATCH(1,
      ($B$2:$B$301=B128) * ($C$2:$C$301=C128) * ($D$2:$D$301=D128) * ($E$2:$E$301=E128) *
      ($F$2:$F$301=F128) * ($G$2:$G$301=G128) * ($H$2:$H$301=H128) * ($I$2:$I$301=I128) *
      ($J$2:$J$301=J128),0)),"yyyy-mm-dd"),
    "Perlu Klarifikasi"
  )
)</f>
        <v>2024-02-03</v>
      </c>
      <c r="L128" t="str" cm="1">
        <f t="array" ref="L128">IF(
  E128&lt;&gt;"Evening",
  E128,
  IFERROR(
    INDEX($E$2:$E$301, SMALL(
      IF(
        ($B$2:$B$301=B128) * ($C$2:$C$301=C128) * ($D$2:$D$301=D128) *
        ($F$2:$F$301=F128) * ($G$2:$G$301=G128) * ($H$2:$H$301=H128) * ($I$2:$I$301=I128) *
        ($J$2:$J$301=J128) * ($K$2:$K$301=K128) * ($E$2:$E$301&lt;&gt;"Evening"),
        ROW($E$2:$E$301)-ROW($E$2)+1,
        ""
      ),
    1)),
    "Night"
  )
)</f>
        <v>Night</v>
      </c>
    </row>
    <row r="129" spans="1:12" x14ac:dyDescent="0.3">
      <c r="A129" s="26" t="s">
        <v>52</v>
      </c>
      <c r="B129" t="s">
        <v>29</v>
      </c>
      <c r="C129" t="s">
        <v>25</v>
      </c>
      <c r="D129" t="s">
        <v>31</v>
      </c>
      <c r="E129" t="s">
        <v>23</v>
      </c>
      <c r="F129">
        <v>502</v>
      </c>
      <c r="G129">
        <v>4102</v>
      </c>
      <c r="H129">
        <v>5.37</v>
      </c>
      <c r="I129">
        <v>0.34</v>
      </c>
      <c r="J129">
        <v>5.03</v>
      </c>
      <c r="K129" s="25" t="str" cm="1">
        <f t="array" ref="K129">IF(
  ISNUMBER(DATEVALUE(A129)),
  TEXT(DATEVALUE(A129),"yyyy-mm-dd"),
  IFERROR(
    TEXT(INDEX($A$2:$A$301,MATCH(1,
      ($B$2:$B$301=B129) * ($C$2:$C$301=C129) * ($D$2:$D$301=D129) * ($E$2:$E$301=E129) *
      ($F$2:$F$301=F129) * ($G$2:$G$301=G129) * ($H$2:$H$301=H129) * ($I$2:$I$301=I129) *
      ($J$2:$J$301=J129),0)),"yyyy-mm-dd"),
    "Perlu Klarifikasi"
  )
)</f>
        <v>2024-02-03</v>
      </c>
      <c r="L129" t="str" cm="1">
        <f t="array" ref="L129">IF(
  E129&lt;&gt;"Evening",
  E129,
  IFERROR(
    INDEX($E$2:$E$301, SMALL(
      IF(
        ($B$2:$B$301=B129) * ($C$2:$C$301=C129) * ($D$2:$D$301=D129) *
        ($F$2:$F$301=F129) * ($G$2:$G$301=G129) * ($H$2:$H$301=H129) * ($I$2:$I$301=I129) *
        ($J$2:$J$301=J129) * ($K$2:$K$301=K129) * ($E$2:$E$301&lt;&gt;"Evening"),
        ROW($E$2:$E$301)-ROW($E$2)+1,
        ""
      ),
    1)),
    "Night"
  )
)</f>
        <v>Night</v>
      </c>
    </row>
    <row r="130" spans="1:12" x14ac:dyDescent="0.3">
      <c r="A130" s="25" t="s">
        <v>45</v>
      </c>
      <c r="B130" t="s">
        <v>34</v>
      </c>
      <c r="C130" t="s">
        <v>21</v>
      </c>
      <c r="D130" t="s">
        <v>26</v>
      </c>
      <c r="E130" s="22" t="s">
        <v>32</v>
      </c>
      <c r="F130">
        <v>5695</v>
      </c>
      <c r="G130">
        <v>2158</v>
      </c>
      <c r="H130">
        <v>9.1300000000000008</v>
      </c>
      <c r="I130">
        <v>0.94</v>
      </c>
      <c r="J130">
        <v>8.19</v>
      </c>
      <c r="K130" s="25" t="str" cm="1">
        <f t="array" ref="K130">IF(
  ISNUMBER(DATEVALUE(A130)),
  TEXT(DATEVALUE(A130),"yyyy-mm-dd"),
  IFERROR(
    TEXT(INDEX($A$2:$A$301,MATCH(1,
      ($B$2:$B$301=B130) * ($C$2:$C$301=C130) * ($D$2:$D$301=D130) * ($E$2:$E$301=E130) *
      ($F$2:$F$301=F130) * ($G$2:$G$301=G130) * ($H$2:$H$301=H130) * ($I$2:$I$301=I130) *
      ($J$2:$J$301=J130),0)),"yyyy-mm-dd"),
    "Perlu Klarifikasi"
  )
)</f>
        <v>2024-02-04</v>
      </c>
      <c r="L130" t="str" cm="1">
        <f t="array" ref="L130">IF(
  E130&lt;&gt;"Evening",
  E130,
  IFERROR(
    INDEX($E$2:$E$301, SMALL(
      IF(
        ($B$2:$B$301=B130) * ($C$2:$C$301=C130) * ($D$2:$D$301=D130) *
        ($F$2:$F$301=F130) * ($G$2:$G$301=G130) * ($H$2:$H$301=H130) * ($I$2:$I$301=I130) *
        ($J$2:$J$301=J130) * ($K$2:$K$301=K130) * ($E$2:$E$301&lt;&gt;"Evening"),
        ROW($E$2:$E$301)-ROW($E$2)+1,
        ""
      ),
    1)),
    "Night"
  )
)</f>
        <v>Night</v>
      </c>
    </row>
    <row r="131" spans="1:12" x14ac:dyDescent="0.3">
      <c r="A131" s="25" t="s">
        <v>45</v>
      </c>
      <c r="B131" t="s">
        <v>34</v>
      </c>
      <c r="C131" t="s">
        <v>25</v>
      </c>
      <c r="D131" t="s">
        <v>22</v>
      </c>
      <c r="E131" t="s">
        <v>23</v>
      </c>
      <c r="F131">
        <v>173</v>
      </c>
      <c r="G131">
        <v>1404</v>
      </c>
      <c r="H131">
        <v>5.4</v>
      </c>
      <c r="I131">
        <v>1.41</v>
      </c>
      <c r="J131">
        <v>3.99</v>
      </c>
      <c r="K131" s="25" t="str" cm="1">
        <f t="array" ref="K131">IF(
  ISNUMBER(DATEVALUE(A131)),
  TEXT(DATEVALUE(A131),"yyyy-mm-dd"),
  IFERROR(
    TEXT(INDEX($A$2:$A$301,MATCH(1,
      ($B$2:$B$301=B131) * ($C$2:$C$301=C131) * ($D$2:$D$301=D131) * ($E$2:$E$301=E131) *
      ($F$2:$F$301=F131) * ($G$2:$G$301=G131) * ($H$2:$H$301=H131) * ($I$2:$I$301=I131) *
      ($J$2:$J$301=J131),0)),"yyyy-mm-dd"),
    "Perlu Klarifikasi"
  )
)</f>
        <v>2024-02-04</v>
      </c>
      <c r="L131" t="str" cm="1">
        <f t="array" ref="L131">IF(
  E131&lt;&gt;"Evening",
  E131,
  IFERROR(
    INDEX($E$2:$E$301, SMALL(
      IF(
        ($B$2:$B$301=B131) * ($C$2:$C$301=C131) * ($D$2:$D$301=D131) *
        ($F$2:$F$301=F131) * ($G$2:$G$301=G131) * ($H$2:$H$301=H131) * ($I$2:$I$301=I131) *
        ($J$2:$J$301=J131) * ($K$2:$K$301=K131) * ($E$2:$E$301&lt;&gt;"Evening"),
        ROW($E$2:$E$301)-ROW($E$2)+1,
        ""
      ),
    1)),
    "Night"
  )
)</f>
        <v>Night</v>
      </c>
    </row>
    <row r="132" spans="1:12" x14ac:dyDescent="0.3">
      <c r="A132" s="25" t="s">
        <v>45</v>
      </c>
      <c r="B132" t="s">
        <v>34</v>
      </c>
      <c r="C132" t="s">
        <v>25</v>
      </c>
      <c r="D132" t="s">
        <v>22</v>
      </c>
      <c r="E132" t="s">
        <v>23</v>
      </c>
      <c r="F132">
        <v>173</v>
      </c>
      <c r="G132">
        <v>1404</v>
      </c>
      <c r="H132">
        <v>5.4</v>
      </c>
      <c r="I132">
        <v>1.41</v>
      </c>
      <c r="J132">
        <v>3.99</v>
      </c>
      <c r="K132" s="25" t="str" cm="1">
        <f t="array" ref="K132">IF(
  ISNUMBER(DATEVALUE(A132)),
  TEXT(DATEVALUE(A132),"yyyy-mm-dd"),
  IFERROR(
    TEXT(INDEX($A$2:$A$301,MATCH(1,
      ($B$2:$B$301=B132) * ($C$2:$C$301=C132) * ($D$2:$D$301=D132) * ($E$2:$E$301=E132) *
      ($F$2:$F$301=F132) * ($G$2:$G$301=G132) * ($H$2:$H$301=H132) * ($I$2:$I$301=I132) *
      ($J$2:$J$301=J132),0)),"yyyy-mm-dd"),
    "Perlu Klarifikasi"
  )
)</f>
        <v>2024-02-04</v>
      </c>
      <c r="L132" t="str" cm="1">
        <f t="array" ref="L132">IF(
  E132&lt;&gt;"Evening",
  E132,
  IFERROR(
    INDEX($E$2:$E$301, SMALL(
      IF(
        ($B$2:$B$301=B132) * ($C$2:$C$301=C132) * ($D$2:$D$301=D132) *
        ($F$2:$F$301=F132) * ($G$2:$G$301=G132) * ($H$2:$H$301=H132) * ($I$2:$I$301=I132) *
        ($J$2:$J$301=J132) * ($K$2:$K$301=K132) * ($E$2:$E$301&lt;&gt;"Evening"),
        ROW($E$2:$E$301)-ROW($E$2)+1,
        ""
      ),
    1)),
    "Night"
  )
)</f>
        <v>Night</v>
      </c>
    </row>
    <row r="133" spans="1:12" x14ac:dyDescent="0.3">
      <c r="A133" s="25" t="s">
        <v>45</v>
      </c>
      <c r="B133" t="s">
        <v>34</v>
      </c>
      <c r="C133" t="s">
        <v>21</v>
      </c>
      <c r="D133" t="s">
        <v>26</v>
      </c>
      <c r="E133" s="22" t="s">
        <v>32</v>
      </c>
      <c r="F133">
        <v>5695</v>
      </c>
      <c r="G133">
        <v>2158</v>
      </c>
      <c r="H133">
        <v>9.1300000000000008</v>
      </c>
      <c r="I133">
        <v>0.94</v>
      </c>
      <c r="J133">
        <v>8.19</v>
      </c>
      <c r="K133" s="25" t="str" cm="1">
        <f t="array" ref="K133">IF(
  ISNUMBER(DATEVALUE(A133)),
  TEXT(DATEVALUE(A133),"yyyy-mm-dd"),
  IFERROR(
    TEXT(INDEX($A$2:$A$301,MATCH(1,
      ($B$2:$B$301=B133) * ($C$2:$C$301=C133) * ($D$2:$D$301=D133) * ($E$2:$E$301=E133) *
      ($F$2:$F$301=F133) * ($G$2:$G$301=G133) * ($H$2:$H$301=H133) * ($I$2:$I$301=I133) *
      ($J$2:$J$301=J133),0)),"yyyy-mm-dd"),
    "Perlu Klarifikasi"
  )
)</f>
        <v>2024-02-04</v>
      </c>
      <c r="L133" t="str" cm="1">
        <f t="array" ref="L133">IF(
  E133&lt;&gt;"Evening",
  E133,
  IFERROR(
    INDEX($E$2:$E$301, SMALL(
      IF(
        ($B$2:$B$301=B133) * ($C$2:$C$301=C133) * ($D$2:$D$301=D133) *
        ($F$2:$F$301=F133) * ($G$2:$G$301=G133) * ($H$2:$H$301=H133) * ($I$2:$I$301=I133) *
        ($J$2:$J$301=J133) * ($K$2:$K$301=K133) * ($E$2:$E$301&lt;&gt;"Evening"),
        ROW($E$2:$E$301)-ROW($E$2)+1,
        ""
      ),
    1)),
    "Night"
  )
)</f>
        <v>Night</v>
      </c>
    </row>
    <row r="134" spans="1:12" x14ac:dyDescent="0.3">
      <c r="A134" s="25" t="s">
        <v>45</v>
      </c>
      <c r="B134" t="s">
        <v>20</v>
      </c>
      <c r="C134" t="s">
        <v>30</v>
      </c>
      <c r="D134" t="s">
        <v>31</v>
      </c>
      <c r="E134" t="s">
        <v>27</v>
      </c>
      <c r="F134">
        <v>1744</v>
      </c>
      <c r="G134">
        <v>3799</v>
      </c>
      <c r="H134">
        <v>5.48</v>
      </c>
      <c r="I134">
        <v>0.44</v>
      </c>
      <c r="J134">
        <v>5.04</v>
      </c>
      <c r="K134" s="25" t="str" cm="1">
        <f t="array" ref="K134">IF(
  ISNUMBER(DATEVALUE(A134)),
  TEXT(DATEVALUE(A134),"yyyy-mm-dd"),
  IFERROR(
    TEXT(INDEX($A$2:$A$301,MATCH(1,
      ($B$2:$B$301=B134) * ($C$2:$C$301=C134) * ($D$2:$D$301=D134) * ($E$2:$E$301=E134) *
      ($F$2:$F$301=F134) * ($G$2:$G$301=G134) * ($H$2:$H$301=H134) * ($I$2:$I$301=I134) *
      ($J$2:$J$301=J134),0)),"yyyy-mm-dd"),
    "Perlu Klarifikasi"
  )
)</f>
        <v>2024-02-04</v>
      </c>
      <c r="L134" t="str" cm="1">
        <f t="array" ref="L134">IF(
  E134&lt;&gt;"Evening",
  E134,
  IFERROR(
    INDEX($E$2:$E$301, SMALL(
      IF(
        ($B$2:$B$301=B134) * ($C$2:$C$301=C134) * ($D$2:$D$301=D134) *
        ($F$2:$F$301=F134) * ($G$2:$G$301=G134) * ($H$2:$H$301=H134) * ($I$2:$I$301=I134) *
        ($J$2:$J$301=J134) * ($K$2:$K$301=K134) * ($E$2:$E$301&lt;&gt;"Evening"),
        ROW($E$2:$E$301)-ROW($E$2)+1,
        ""
      ),
    1)),
    "Night"
  )
)</f>
        <v>Day</v>
      </c>
    </row>
    <row r="135" spans="1:12" x14ac:dyDescent="0.3">
      <c r="A135" s="25" t="s">
        <v>64</v>
      </c>
      <c r="B135" t="s">
        <v>29</v>
      </c>
      <c r="C135" t="s">
        <v>21</v>
      </c>
      <c r="D135" t="s">
        <v>22</v>
      </c>
      <c r="E135" s="22" t="s">
        <v>32</v>
      </c>
      <c r="F135">
        <v>3436</v>
      </c>
      <c r="G135">
        <v>5420</v>
      </c>
      <c r="H135">
        <v>7.13</v>
      </c>
      <c r="I135">
        <v>0.68</v>
      </c>
      <c r="J135">
        <v>6.45</v>
      </c>
      <c r="K135" s="25" t="str" cm="1">
        <f t="array" ref="K135">IF(
  ISNUMBER(DATEVALUE(A135)),
  TEXT(DATEVALUE(A135),"yyyy-mm-dd"),
  IFERROR(
    TEXT(INDEX($A$2:$A$301,MATCH(1,
      ($B$2:$B$301=B135) * ($C$2:$C$301=C135) * ($D$2:$D$301=D135) * ($E$2:$E$301=E135) *
      ($F$2:$F$301=F135) * ($G$2:$G$301=G135) * ($H$2:$H$301=H135) * ($I$2:$I$301=I135) *
      ($J$2:$J$301=J135),0)),"yyyy-mm-dd"),
    "Perlu Klarifikasi"
  )
)</f>
        <v>2024-02-05</v>
      </c>
      <c r="L135" t="str" cm="1">
        <f t="array" ref="L135">IF(
  E135&lt;&gt;"Evening",
  E135,
  IFERROR(
    INDEX($E$2:$E$301, SMALL(
      IF(
        ($B$2:$B$301=B135) * ($C$2:$C$301=C135) * ($D$2:$D$301=D135) *
        ($F$2:$F$301=F135) * ($G$2:$G$301=G135) * ($H$2:$H$301=H135) * ($I$2:$I$301=I135) *
        ($J$2:$J$301=J135) * ($K$2:$K$301=K135) * ($E$2:$E$301&lt;&gt;"Evening"),
        ROW($E$2:$E$301)-ROW($E$2)+1,
        ""
      ),
    1)),
    "Night"
  )
)</f>
        <v>Night</v>
      </c>
    </row>
    <row r="136" spans="1:12" x14ac:dyDescent="0.3">
      <c r="A136" s="25" t="s">
        <v>64</v>
      </c>
      <c r="B136" t="s">
        <v>20</v>
      </c>
      <c r="C136" t="s">
        <v>30</v>
      </c>
      <c r="D136" t="s">
        <v>22</v>
      </c>
      <c r="E136" t="s">
        <v>27</v>
      </c>
      <c r="F136">
        <v>2142</v>
      </c>
      <c r="G136">
        <v>2619</v>
      </c>
      <c r="H136">
        <v>6.2</v>
      </c>
      <c r="I136">
        <v>0.27</v>
      </c>
      <c r="J136">
        <v>5.93</v>
      </c>
      <c r="K136" s="25" t="str" cm="1">
        <f t="array" ref="K136">IF(
  ISNUMBER(DATEVALUE(A136)),
  TEXT(DATEVALUE(A136),"yyyy-mm-dd"),
  IFERROR(
    TEXT(INDEX($A$2:$A$301,MATCH(1,
      ($B$2:$B$301=B136) * ($C$2:$C$301=C136) * ($D$2:$D$301=D136) * ($E$2:$E$301=E136) *
      ($F$2:$F$301=F136) * ($G$2:$G$301=G136) * ($H$2:$H$301=H136) * ($I$2:$I$301=I136) *
      ($J$2:$J$301=J136),0)),"yyyy-mm-dd"),
    "Perlu Klarifikasi"
  )
)</f>
        <v>2024-02-05</v>
      </c>
      <c r="L136" t="str" cm="1">
        <f t="array" ref="L136">IF(
  E136&lt;&gt;"Evening",
  E136,
  IFERROR(
    INDEX($E$2:$E$301, SMALL(
      IF(
        ($B$2:$B$301=B136) * ($C$2:$C$301=C136) * ($D$2:$D$301=D136) *
        ($F$2:$F$301=F136) * ($G$2:$G$301=G136) * ($H$2:$H$301=H136) * ($I$2:$I$301=I136) *
        ($J$2:$J$301=J136) * ($K$2:$K$301=K136) * ($E$2:$E$301&lt;&gt;"Evening"),
        ROW($E$2:$E$301)-ROW($E$2)+1,
        ""
      ),
    1)),
    "Night"
  )
)</f>
        <v>Day</v>
      </c>
    </row>
    <row r="137" spans="1:12" x14ac:dyDescent="0.3">
      <c r="A137" s="25" t="s">
        <v>64</v>
      </c>
      <c r="B137" t="s">
        <v>29</v>
      </c>
      <c r="C137" t="s">
        <v>21</v>
      </c>
      <c r="D137" t="s">
        <v>22</v>
      </c>
      <c r="E137" t="s">
        <v>23</v>
      </c>
      <c r="F137">
        <v>3436</v>
      </c>
      <c r="G137">
        <v>5420</v>
      </c>
      <c r="H137">
        <v>7.13</v>
      </c>
      <c r="I137">
        <v>0.68</v>
      </c>
      <c r="J137">
        <v>6.45</v>
      </c>
      <c r="K137" s="25" t="str" cm="1">
        <f t="array" ref="K137">IF(
  ISNUMBER(DATEVALUE(A137)),
  TEXT(DATEVALUE(A137),"yyyy-mm-dd"),
  IFERROR(
    TEXT(INDEX($A$2:$A$301,MATCH(1,
      ($B$2:$B$301=B137) * ($C$2:$C$301=C137) * ($D$2:$D$301=D137) * ($E$2:$E$301=E137) *
      ($F$2:$F$301=F137) * ($G$2:$G$301=G137) * ($H$2:$H$301=H137) * ($I$2:$I$301=I137) *
      ($J$2:$J$301=J137),0)),"yyyy-mm-dd"),
    "Perlu Klarifikasi"
  )
)</f>
        <v>2024-02-05</v>
      </c>
      <c r="L137" t="str" cm="1">
        <f t="array" ref="L137">IF(
  E137&lt;&gt;"Evening",
  E137,
  IFERROR(
    INDEX($E$2:$E$301, SMALL(
      IF(
        ($B$2:$B$301=B137) * ($C$2:$C$301=C137) * ($D$2:$D$301=D137) *
        ($F$2:$F$301=F137) * ($G$2:$G$301=G137) * ($H$2:$H$301=H137) * ($I$2:$I$301=I137) *
        ($J$2:$J$301=J137) * ($K$2:$K$301=K137) * ($E$2:$E$301&lt;&gt;"Evening"),
        ROW($E$2:$E$301)-ROW($E$2)+1,
        ""
      ),
    1)),
    "Night"
  )
)</f>
        <v>Night</v>
      </c>
    </row>
    <row r="138" spans="1:12" x14ac:dyDescent="0.3">
      <c r="A138" s="25" t="s">
        <v>64</v>
      </c>
      <c r="B138" t="s">
        <v>20</v>
      </c>
      <c r="C138" t="s">
        <v>30</v>
      </c>
      <c r="D138" t="s">
        <v>22</v>
      </c>
      <c r="E138" t="s">
        <v>27</v>
      </c>
      <c r="F138">
        <v>2142</v>
      </c>
      <c r="G138">
        <v>2619</v>
      </c>
      <c r="H138">
        <v>6.2</v>
      </c>
      <c r="I138">
        <v>0.27</v>
      </c>
      <c r="J138">
        <v>5.93</v>
      </c>
      <c r="K138" s="25" t="str" cm="1">
        <f t="array" ref="K138">IF(
  ISNUMBER(DATEVALUE(A138)),
  TEXT(DATEVALUE(A138),"yyyy-mm-dd"),
  IFERROR(
    TEXT(INDEX($A$2:$A$301,MATCH(1,
      ($B$2:$B$301=B138) * ($C$2:$C$301=C138) * ($D$2:$D$301=D138) * ($E$2:$E$301=E138) *
      ($F$2:$F$301=F138) * ($G$2:$G$301=G138) * ($H$2:$H$301=H138) * ($I$2:$I$301=I138) *
      ($J$2:$J$301=J138),0)),"yyyy-mm-dd"),
    "Perlu Klarifikasi"
  )
)</f>
        <v>2024-02-05</v>
      </c>
      <c r="L138" t="str" cm="1">
        <f t="array" ref="L138">IF(
  E138&lt;&gt;"Evening",
  E138,
  IFERROR(
    INDEX($E$2:$E$301, SMALL(
      IF(
        ($B$2:$B$301=B138) * ($C$2:$C$301=C138) * ($D$2:$D$301=D138) *
        ($F$2:$F$301=F138) * ($G$2:$G$301=G138) * ($H$2:$H$301=H138) * ($I$2:$I$301=I138) *
        ($J$2:$J$301=J138) * ($K$2:$K$301=K138) * ($E$2:$E$301&lt;&gt;"Evening"),
        ROW($E$2:$E$301)-ROW($E$2)+1,
        ""
      ),
    1)),
    "Night"
  )
)</f>
        <v>Day</v>
      </c>
    </row>
    <row r="139" spans="1:12" x14ac:dyDescent="0.3">
      <c r="A139" s="25" t="s">
        <v>64</v>
      </c>
      <c r="B139" t="s">
        <v>20</v>
      </c>
      <c r="C139" t="s">
        <v>30</v>
      </c>
      <c r="D139" t="s">
        <v>22</v>
      </c>
      <c r="E139" t="s">
        <v>27</v>
      </c>
      <c r="F139">
        <v>2142</v>
      </c>
      <c r="G139">
        <v>2619</v>
      </c>
      <c r="H139">
        <v>6.2</v>
      </c>
      <c r="I139">
        <v>0.27</v>
      </c>
      <c r="J139">
        <v>5.93</v>
      </c>
      <c r="K139" s="25" t="str" cm="1">
        <f t="array" ref="K139">IF(
  ISNUMBER(DATEVALUE(A139)),
  TEXT(DATEVALUE(A139),"yyyy-mm-dd"),
  IFERROR(
    TEXT(INDEX($A$2:$A$301,MATCH(1,
      ($B$2:$B$301=B139) * ($C$2:$C$301=C139) * ($D$2:$D$301=D139) * ($E$2:$E$301=E139) *
      ($F$2:$F$301=F139) * ($G$2:$G$301=G139) * ($H$2:$H$301=H139) * ($I$2:$I$301=I139) *
      ($J$2:$J$301=J139),0)),"yyyy-mm-dd"),
    "Perlu Klarifikasi"
  )
)</f>
        <v>2024-02-05</v>
      </c>
      <c r="L139" t="str" cm="1">
        <f t="array" ref="L139">IF(
  E139&lt;&gt;"Evening",
  E139,
  IFERROR(
    INDEX($E$2:$E$301, SMALL(
      IF(
        ($B$2:$B$301=B139) * ($C$2:$C$301=C139) * ($D$2:$D$301=D139) *
        ($F$2:$F$301=F139) * ($G$2:$G$301=G139) * ($H$2:$H$301=H139) * ($I$2:$I$301=I139) *
        ($J$2:$J$301=J139) * ($K$2:$K$301=K139) * ($E$2:$E$301&lt;&gt;"Evening"),
        ROW($E$2:$E$301)-ROW($E$2)+1,
        ""
      ),
    1)),
    "Night"
  )
)</f>
        <v>Day</v>
      </c>
    </row>
    <row r="140" spans="1:12" x14ac:dyDescent="0.3">
      <c r="A140" s="26" t="s">
        <v>52</v>
      </c>
      <c r="B140" t="s">
        <v>20</v>
      </c>
      <c r="C140" t="s">
        <v>30</v>
      </c>
      <c r="D140" t="s">
        <v>22</v>
      </c>
      <c r="E140" t="s">
        <v>27</v>
      </c>
      <c r="F140">
        <v>4805</v>
      </c>
      <c r="G140">
        <v>5407</v>
      </c>
      <c r="H140">
        <v>6.04</v>
      </c>
      <c r="I140">
        <v>1.36</v>
      </c>
      <c r="J140">
        <v>4.68</v>
      </c>
      <c r="K140" s="25" t="str" cm="1">
        <f t="array" ref="K140">TEXT(
  MEDIAN(
    IF(
      ($B$2:$B$301=B140) * ($C$2:$C$301=C140) * ($D$2:$D$301=D140) * ($E$2:$E$301=E140) * ISNUMBER(DATEVALUE($A$2:$A$301)),
      DATEVALUE($A$2:$A$301)
    )
  ),
  "yyyy-mm-dd"
)</f>
        <v>2024-02-05</v>
      </c>
      <c r="L140" t="str" cm="1">
        <f t="array" ref="L140">IF(
  E140&lt;&gt;"Evening",
  E140,
  IFERROR(
    INDEX($E$2:$E$301, SMALL(
      IF(
        ($B$2:$B$301=B140) * ($C$2:$C$301=C140) * ($D$2:$D$301=D140) *
        ($F$2:$F$301=F140) * ($G$2:$G$301=G140) * ($H$2:$H$301=H140) * ($I$2:$I$301=I140) *
        ($J$2:$J$301=J140) * ($K$2:$K$301=K140) * ($E$2:$E$301&lt;&gt;"Evening"),
        ROW($E$2:$E$301)-ROW($E$2)+1,
        ""
      ),
    1)),
    "Night"
  )
)</f>
        <v>Day</v>
      </c>
    </row>
    <row r="141" spans="1:12" x14ac:dyDescent="0.3">
      <c r="A141" s="26" t="s">
        <v>52</v>
      </c>
      <c r="B141" t="s">
        <v>20</v>
      </c>
      <c r="C141" t="s">
        <v>30</v>
      </c>
      <c r="D141" t="s">
        <v>22</v>
      </c>
      <c r="E141" t="s">
        <v>27</v>
      </c>
      <c r="F141">
        <v>4805</v>
      </c>
      <c r="G141">
        <v>5407</v>
      </c>
      <c r="H141">
        <v>6.04</v>
      </c>
      <c r="I141">
        <v>1.36</v>
      </c>
      <c r="J141">
        <v>4.68</v>
      </c>
      <c r="K141" s="25" t="str" cm="1">
        <f t="array" ref="K141">TEXT(
  MEDIAN(
    IF(
      ($B$2:$B$301=B141) * ($C$2:$C$301=C141) * ($D$2:$D$301=D141) * ($E$2:$E$301=E141) * ISNUMBER(DATEVALUE($A$2:$A$301)),
      DATEVALUE($A$2:$A$301)
    )
  ),
  "yyyy-mm-dd"
)</f>
        <v>2024-02-05</v>
      </c>
      <c r="L141" t="str" cm="1">
        <f t="array" ref="L141">IF(
  E141&lt;&gt;"Evening",
  E141,
  IFERROR(
    INDEX($E$2:$E$301, SMALL(
      IF(
        ($B$2:$B$301=B141) * ($C$2:$C$301=C141) * ($D$2:$D$301=D141) *
        ($F$2:$F$301=F141) * ($G$2:$G$301=G141) * ($H$2:$H$301=H141) * ($I$2:$I$301=I141) *
        ($J$2:$J$301=J141) * ($K$2:$K$301=K141) * ($E$2:$E$301&lt;&gt;"Evening"),
        ROW($E$2:$E$301)-ROW($E$2)+1,
        ""
      ),
    1)),
    "Night"
  )
)</f>
        <v>Day</v>
      </c>
    </row>
    <row r="142" spans="1:12" x14ac:dyDescent="0.3">
      <c r="A142" s="25" t="s">
        <v>64</v>
      </c>
      <c r="B142" t="s">
        <v>20</v>
      </c>
      <c r="C142" t="s">
        <v>25</v>
      </c>
      <c r="D142" s="22" t="str" cm="1">
        <f t="array" ref="D142">IF(
  Produksi!D134&lt;&gt;"",
  Produksi!D134,
  IFERROR(
    INDEX($D$2:$D$301, MATCH(1,
      ($B$2:$B$301=Produksi!B134) * ($C$2:$C$301=Produksi!C134) * ($E$2:$E$301=Produksi!E134),
      0)),
    "Perlu Klarifikasi")
)</f>
        <v>EX2500</v>
      </c>
      <c r="E142" t="s">
        <v>27</v>
      </c>
      <c r="F142">
        <v>6832</v>
      </c>
      <c r="G142">
        <v>5330</v>
      </c>
      <c r="H142">
        <v>4.42</v>
      </c>
      <c r="I142">
        <v>0.41</v>
      </c>
      <c r="J142">
        <v>4.01</v>
      </c>
      <c r="K142" s="25" t="str" cm="1">
        <f t="array" ref="K142">IF(
  ISNUMBER(DATEVALUE(A142)),
  TEXT(DATEVALUE(A142),"yyyy-mm-dd"),
  IFERROR(
    TEXT(INDEX($A$2:$A$301,MATCH(1,
      ($B$2:$B$301=B142) * ($C$2:$C$301=C142) * ($D$2:$D$301=D142) * ($E$2:$E$301=E142) *
      ($F$2:$F$301=F142) * ($G$2:$G$301=G142) * ($H$2:$H$301=H142) * ($I$2:$I$301=I142) *
      ($J$2:$J$301=J142),0)),"yyyy-mm-dd"),
    "Perlu Klarifikasi"
  )
)</f>
        <v>2024-02-05</v>
      </c>
      <c r="L142" t="str" cm="1">
        <f t="array" ref="L142">IF(
  E142&lt;&gt;"Evening",
  E142,
  IFERROR(
    INDEX($E$2:$E$301, SMALL(
      IF(
        ($B$2:$B$301=B142) * ($C$2:$C$301=C142) * ($D$2:$D$301=D142) *
        ($F$2:$F$301=F142) * ($G$2:$G$301=G142) * ($H$2:$H$301=H142) * ($I$2:$I$301=I142) *
        ($J$2:$J$301=J142) * ($K$2:$K$301=K142) * ($E$2:$E$301&lt;&gt;"Evening"),
        ROW($E$2:$E$301)-ROW($E$2)+1,
        ""
      ),
    1)),
    "Night"
  )
)</f>
        <v>Day</v>
      </c>
    </row>
    <row r="143" spans="1:12" x14ac:dyDescent="0.3">
      <c r="A143" s="25" t="s">
        <v>51</v>
      </c>
      <c r="B143" t="s">
        <v>29</v>
      </c>
      <c r="C143" t="s">
        <v>30</v>
      </c>
      <c r="D143" t="s">
        <v>22</v>
      </c>
      <c r="E143" t="s">
        <v>27</v>
      </c>
      <c r="F143">
        <v>2901</v>
      </c>
      <c r="G143">
        <v>1408</v>
      </c>
      <c r="H143">
        <v>4.3600000000000003</v>
      </c>
      <c r="I143">
        <v>0.72</v>
      </c>
      <c r="J143">
        <v>3.64</v>
      </c>
      <c r="K143" s="25" t="str" cm="1">
        <f t="array" ref="K143">IF(
  ISNUMBER(DATEVALUE(A143)),
  TEXT(DATEVALUE(A143),"yyyy-mm-dd"),
  IFERROR(
    TEXT(INDEX($A$2:$A$301,MATCH(1,
      ($B$2:$B$301=B143) * ($C$2:$C$301=C143) * ($D$2:$D$301=D143) * ($E$2:$E$301=E143) *
      ($F$2:$F$301=F143) * ($G$2:$G$301=G143) * ($H$2:$H$301=H143) * ($I$2:$I$301=I143) *
      ($J$2:$J$301=J143),0)),"yyyy-mm-dd"),
    "Perlu Klarifikasi"
  )
)</f>
        <v>2024-02-06</v>
      </c>
      <c r="L143" t="str" cm="1">
        <f t="array" ref="L143">IF(
  E143&lt;&gt;"Evening",
  E143,
  IFERROR(
    INDEX($E$2:$E$301, SMALL(
      IF(
        ($B$2:$B$301=B143) * ($C$2:$C$301=C143) * ($D$2:$D$301=D143) *
        ($F$2:$F$301=F143) * ($G$2:$G$301=G143) * ($H$2:$H$301=H143) * ($I$2:$I$301=I143) *
        ($J$2:$J$301=J143) * ($K$2:$K$301=K143) * ($E$2:$E$301&lt;&gt;"Evening"),
        ROW($E$2:$E$301)-ROW($E$2)+1,
        ""
      ),
    1)),
    "Night"
  )
)</f>
        <v>Day</v>
      </c>
    </row>
    <row r="144" spans="1:12" x14ac:dyDescent="0.3">
      <c r="A144" s="25" t="s">
        <v>51</v>
      </c>
      <c r="B144" t="s">
        <v>29</v>
      </c>
      <c r="C144" t="s">
        <v>30</v>
      </c>
      <c r="D144" t="s">
        <v>22</v>
      </c>
      <c r="E144" t="s">
        <v>27</v>
      </c>
      <c r="F144">
        <v>2901</v>
      </c>
      <c r="G144">
        <v>1408</v>
      </c>
      <c r="H144">
        <v>4.3600000000000003</v>
      </c>
      <c r="I144">
        <v>0.72</v>
      </c>
      <c r="J144">
        <v>3.64</v>
      </c>
      <c r="K144" s="25" t="str" cm="1">
        <f t="array" ref="K144">IF(
  ISNUMBER(DATEVALUE(A144)),
  TEXT(DATEVALUE(A144),"yyyy-mm-dd"),
  IFERROR(
    TEXT(INDEX($A$2:$A$301,MATCH(1,
      ($B$2:$B$301=B144) * ($C$2:$C$301=C144) * ($D$2:$D$301=D144) * ($E$2:$E$301=E144) *
      ($F$2:$F$301=F144) * ($G$2:$G$301=G144) * ($H$2:$H$301=H144) * ($I$2:$I$301=I144) *
      ($J$2:$J$301=J144),0)),"yyyy-mm-dd"),
    "Perlu Klarifikasi"
  )
)</f>
        <v>2024-02-06</v>
      </c>
      <c r="L144" t="str" cm="1">
        <f t="array" ref="L144">IF(
  E144&lt;&gt;"Evening",
  E144,
  IFERROR(
    INDEX($E$2:$E$301, SMALL(
      IF(
        ($B$2:$B$301=B144) * ($C$2:$C$301=C144) * ($D$2:$D$301=D144) *
        ($F$2:$F$301=F144) * ($G$2:$G$301=G144) * ($H$2:$H$301=H144) * ($I$2:$I$301=I144) *
        ($J$2:$J$301=J144) * ($K$2:$K$301=K144) * ($E$2:$E$301&lt;&gt;"Evening"),
        ROW($E$2:$E$301)-ROW($E$2)+1,
        ""
      ),
    1)),
    "Night"
  )
)</f>
        <v>Day</v>
      </c>
    </row>
    <row r="145" spans="1:12" x14ac:dyDescent="0.3">
      <c r="A145" s="25" t="s">
        <v>88</v>
      </c>
      <c r="B145" t="s">
        <v>34</v>
      </c>
      <c r="C145" t="s">
        <v>21</v>
      </c>
      <c r="D145" t="s">
        <v>26</v>
      </c>
      <c r="E145" t="s">
        <v>27</v>
      </c>
      <c r="F145">
        <v>6569</v>
      </c>
      <c r="G145">
        <v>1391</v>
      </c>
      <c r="H145">
        <v>7.1</v>
      </c>
      <c r="I145">
        <v>0.35</v>
      </c>
      <c r="J145">
        <v>6.75</v>
      </c>
      <c r="K145" s="25" t="str" cm="1">
        <f t="array" ref="K145">IF(
  ISNUMBER(DATEVALUE(A145)),
  TEXT(DATEVALUE(A145),"yyyy-mm-dd"),
  IFERROR(
    TEXT(INDEX($A$2:$A$301,MATCH(1,
      ($B$2:$B$301=B145) * ($C$2:$C$301=C145) * ($D$2:$D$301=D145) * ($E$2:$E$301=E145) *
      ($F$2:$F$301=F145) * ($G$2:$G$301=G145) * ($H$2:$H$301=H145) * ($I$2:$I$301=I145) *
      ($J$2:$J$301=J145),0)),"yyyy-mm-dd"),
    "Perlu Klarifikasi"
  )
)</f>
        <v>2024-02-09</v>
      </c>
      <c r="L145" t="str" cm="1">
        <f t="array" ref="L145">IF(
  E145&lt;&gt;"Evening",
  E145,
  IFERROR(
    INDEX($E$2:$E$301, SMALL(
      IF(
        ($B$2:$B$301=B145) * ($C$2:$C$301=C145) * ($D$2:$D$301=D145) *
        ($F$2:$F$301=F145) * ($G$2:$G$301=G145) * ($H$2:$H$301=H145) * ($I$2:$I$301=I145) *
        ($J$2:$J$301=J145) * ($K$2:$K$301=K145) * ($E$2:$E$301&lt;&gt;"Evening"),
        ROW($E$2:$E$301)-ROW($E$2)+1,
        ""
      ),
    1)),
    "Night"
  )
)</f>
        <v>Day</v>
      </c>
    </row>
    <row r="146" spans="1:12" x14ac:dyDescent="0.3">
      <c r="A146" s="25" t="s">
        <v>88</v>
      </c>
      <c r="B146" t="s">
        <v>34</v>
      </c>
      <c r="C146" t="s">
        <v>21</v>
      </c>
      <c r="D146" t="s">
        <v>26</v>
      </c>
      <c r="E146" t="s">
        <v>27</v>
      </c>
      <c r="F146">
        <v>6569</v>
      </c>
      <c r="G146">
        <v>1391</v>
      </c>
      <c r="H146">
        <v>7.1</v>
      </c>
      <c r="I146">
        <v>0.35</v>
      </c>
      <c r="J146">
        <v>6.75</v>
      </c>
      <c r="K146" s="25" t="str" cm="1">
        <f t="array" ref="K146">IF(
  ISNUMBER(DATEVALUE(A146)),
  TEXT(DATEVALUE(A146),"yyyy-mm-dd"),
  IFERROR(
    TEXT(INDEX($A$2:$A$301,MATCH(1,
      ($B$2:$B$301=B146) * ($C$2:$C$301=C146) * ($D$2:$D$301=D146) * ($E$2:$E$301=E146) *
      ($F$2:$F$301=F146) * ($G$2:$G$301=G146) * ($H$2:$H$301=H146) * ($I$2:$I$301=I146) *
      ($J$2:$J$301=J146),0)),"yyyy-mm-dd"),
    "Perlu Klarifikasi"
  )
)</f>
        <v>2024-02-09</v>
      </c>
      <c r="L146" t="str" cm="1">
        <f t="array" ref="L146">IF(
  E146&lt;&gt;"Evening",
  E146,
  IFERROR(
    INDEX($E$2:$E$301, SMALL(
      IF(
        ($B$2:$B$301=B146) * ($C$2:$C$301=C146) * ($D$2:$D$301=D146) *
        ($F$2:$F$301=F146) * ($G$2:$G$301=G146) * ($H$2:$H$301=H146) * ($I$2:$I$301=I146) *
        ($J$2:$J$301=J146) * ($K$2:$K$301=K146) * ($E$2:$E$301&lt;&gt;"Evening"),
        ROW($E$2:$E$301)-ROW($E$2)+1,
        ""
      ),
    1)),
    "Night"
  )
)</f>
        <v>Day</v>
      </c>
    </row>
    <row r="147" spans="1:12" x14ac:dyDescent="0.3">
      <c r="A147" s="25" t="s">
        <v>65</v>
      </c>
      <c r="B147" t="s">
        <v>29</v>
      </c>
      <c r="C147" t="s">
        <v>21</v>
      </c>
      <c r="D147" t="s">
        <v>31</v>
      </c>
      <c r="E147" t="s">
        <v>27</v>
      </c>
      <c r="F147">
        <v>5615</v>
      </c>
      <c r="G147">
        <v>3582</v>
      </c>
      <c r="H147">
        <v>8.6</v>
      </c>
      <c r="I147">
        <v>1.04</v>
      </c>
      <c r="J147">
        <v>7.56</v>
      </c>
      <c r="K147" s="25" t="str" cm="1">
        <f t="array" ref="K147">IF(
  ISNUMBER(DATEVALUE(A147)),
  TEXT(DATEVALUE(A147),"yyyy-mm-dd"),
  IFERROR(
    TEXT(INDEX($A$2:$A$301,MATCH(1,
      ($B$2:$B$301=B147) * ($C$2:$C$301=C147) * ($D$2:$D$301=D147) * ($E$2:$E$301=E147) *
      ($F$2:$F$301=F147) * ($G$2:$G$301=G147) * ($H$2:$H$301=H147) * ($I$2:$I$301=I147) *
      ($J$2:$J$301=J147),0)),"yyyy-mm-dd"),
    "Perlu Klarifikasi"
  )
)</f>
        <v>2024-02-10</v>
      </c>
      <c r="L147" t="str" cm="1">
        <f t="array" ref="L147">IF(
  E147&lt;&gt;"Evening",
  E147,
  IFERROR(
    INDEX($E$2:$E$301, SMALL(
      IF(
        ($B$2:$B$301=B147) * ($C$2:$C$301=C147) * ($D$2:$D$301=D147) *
        ($F$2:$F$301=F147) * ($G$2:$G$301=G147) * ($H$2:$H$301=H147) * ($I$2:$I$301=I147) *
        ($J$2:$J$301=J147) * ($K$2:$K$301=K147) * ($E$2:$E$301&lt;&gt;"Evening"),
        ROW($E$2:$E$301)-ROW($E$2)+1,
        ""
      ),
    1)),
    "Night"
  )
)</f>
        <v>Day</v>
      </c>
    </row>
    <row r="148" spans="1:12" x14ac:dyDescent="0.3">
      <c r="A148" s="25" t="s">
        <v>65</v>
      </c>
      <c r="B148" t="s">
        <v>29</v>
      </c>
      <c r="C148" t="s">
        <v>21</v>
      </c>
      <c r="D148" t="s">
        <v>31</v>
      </c>
      <c r="E148" t="s">
        <v>27</v>
      </c>
      <c r="F148">
        <v>5615</v>
      </c>
      <c r="G148">
        <v>3582</v>
      </c>
      <c r="H148">
        <v>8.6</v>
      </c>
      <c r="I148">
        <v>1.04</v>
      </c>
      <c r="J148">
        <v>7.56</v>
      </c>
      <c r="K148" s="25" t="str" cm="1">
        <f t="array" ref="K148">IF(
  ISNUMBER(DATEVALUE(A148)),
  TEXT(DATEVALUE(A148),"yyyy-mm-dd"),
  IFERROR(
    TEXT(INDEX($A$2:$A$301,MATCH(1,
      ($B$2:$B$301=B148) * ($C$2:$C$301=C148) * ($D$2:$D$301=D148) * ($E$2:$E$301=E148) *
      ($F$2:$F$301=F148) * ($G$2:$G$301=G148) * ($H$2:$H$301=H148) * ($I$2:$I$301=I148) *
      ($J$2:$J$301=J148),0)),"yyyy-mm-dd"),
    "Perlu Klarifikasi"
  )
)</f>
        <v>2024-02-10</v>
      </c>
      <c r="L148" t="str" cm="1">
        <f t="array" ref="L148">IF(
  E148&lt;&gt;"Evening",
  E148,
  IFERROR(
    INDEX($E$2:$E$301, SMALL(
      IF(
        ($B$2:$B$301=B148) * ($C$2:$C$301=C148) * ($D$2:$D$301=D148) *
        ($F$2:$F$301=F148) * ($G$2:$G$301=G148) * ($H$2:$H$301=H148) * ($I$2:$I$301=I148) *
        ($J$2:$J$301=J148) * ($K$2:$K$301=K148) * ($E$2:$E$301&lt;&gt;"Evening"),
        ROW($E$2:$E$301)-ROW($E$2)+1,
        ""
      ),
    1)),
    "Night"
  )
)</f>
        <v>Day</v>
      </c>
    </row>
    <row r="149" spans="1:12" x14ac:dyDescent="0.3">
      <c r="A149" s="25" t="s">
        <v>65</v>
      </c>
      <c r="B149" t="s">
        <v>20</v>
      </c>
      <c r="C149" t="s">
        <v>21</v>
      </c>
      <c r="D149" t="s">
        <v>22</v>
      </c>
      <c r="E149" t="s">
        <v>27</v>
      </c>
      <c r="F149">
        <v>2077</v>
      </c>
      <c r="G149">
        <v>5424</v>
      </c>
      <c r="H149">
        <v>5.46</v>
      </c>
      <c r="I149">
        <v>0.81</v>
      </c>
      <c r="J149">
        <v>4.6500000000000004</v>
      </c>
      <c r="K149" s="25" t="str" cm="1">
        <f t="array" ref="K149">IF(
  ISNUMBER(DATEVALUE(A149)),
  TEXT(DATEVALUE(A149),"yyyy-mm-dd"),
  IFERROR(
    TEXT(INDEX($A$2:$A$301,MATCH(1,
      ($B$2:$B$301=B149) * ($C$2:$C$301=C149) * ($D$2:$D$301=D149) * ($E$2:$E$301=E149) *
      ($F$2:$F$301=F149) * ($G$2:$G$301=G149) * ($H$2:$H$301=H149) * ($I$2:$I$301=I149) *
      ($J$2:$J$301=J149),0)),"yyyy-mm-dd"),
    "Perlu Klarifikasi"
  )
)</f>
        <v>2024-02-10</v>
      </c>
      <c r="L149" t="str" cm="1">
        <f t="array" ref="L149">IF(
  E149&lt;&gt;"Evening",
  E149,
  IFERROR(
    INDEX($E$2:$E$301, SMALL(
      IF(
        ($B$2:$B$301=B149) * ($C$2:$C$301=C149) * ($D$2:$D$301=D149) *
        ($F$2:$F$301=F149) * ($G$2:$G$301=G149) * ($H$2:$H$301=H149) * ($I$2:$I$301=I149) *
        ($J$2:$J$301=J149) * ($K$2:$K$301=K149) * ($E$2:$E$301&lt;&gt;"Evening"),
        ROW($E$2:$E$301)-ROW($E$2)+1,
        ""
      ),
    1)),
    "Night"
  )
)</f>
        <v>Day</v>
      </c>
    </row>
    <row r="150" spans="1:12" x14ac:dyDescent="0.3">
      <c r="A150" s="25" t="s">
        <v>65</v>
      </c>
      <c r="B150" t="s">
        <v>20</v>
      </c>
      <c r="C150" t="s">
        <v>21</v>
      </c>
      <c r="D150" t="s">
        <v>22</v>
      </c>
      <c r="E150" t="s">
        <v>27</v>
      </c>
      <c r="F150">
        <v>2077</v>
      </c>
      <c r="G150">
        <v>5424</v>
      </c>
      <c r="H150">
        <v>5.46</v>
      </c>
      <c r="I150">
        <v>0.81</v>
      </c>
      <c r="J150">
        <v>4.6500000000000004</v>
      </c>
      <c r="K150" s="25" t="str" cm="1">
        <f t="array" ref="K150">IF(
  ISNUMBER(DATEVALUE(A150)),
  TEXT(DATEVALUE(A150),"yyyy-mm-dd"),
  IFERROR(
    TEXT(INDEX($A$2:$A$301,MATCH(1,
      ($B$2:$B$301=B150) * ($C$2:$C$301=C150) * ($D$2:$D$301=D150) * ($E$2:$E$301=E150) *
      ($F$2:$F$301=F150) * ($G$2:$G$301=G150) * ($H$2:$H$301=H150) * ($I$2:$I$301=I150) *
      ($J$2:$J$301=J150),0)),"yyyy-mm-dd"),
    "Perlu Klarifikasi"
  )
)</f>
        <v>2024-02-10</v>
      </c>
      <c r="L150" t="str" cm="1">
        <f t="array" ref="L150">IF(
  E150&lt;&gt;"Evening",
  E150,
  IFERROR(
    INDEX($E$2:$E$301, SMALL(
      IF(
        ($B$2:$B$301=B150) * ($C$2:$C$301=C150) * ($D$2:$D$301=D150) *
        ($F$2:$F$301=F150) * ($G$2:$G$301=G150) * ($H$2:$H$301=H150) * ($I$2:$I$301=I150) *
        ($J$2:$J$301=J150) * ($K$2:$K$301=K150) * ($E$2:$E$301&lt;&gt;"Evening"),
        ROW($E$2:$E$301)-ROW($E$2)+1,
        ""
      ),
    1)),
    "Night"
  )
)</f>
        <v>Day</v>
      </c>
    </row>
    <row r="151" spans="1:12" x14ac:dyDescent="0.3">
      <c r="A151" s="25" t="s">
        <v>65</v>
      </c>
      <c r="B151" t="s">
        <v>20</v>
      </c>
      <c r="C151" t="s">
        <v>21</v>
      </c>
      <c r="D151" t="s">
        <v>22</v>
      </c>
      <c r="E151" t="s">
        <v>27</v>
      </c>
      <c r="F151">
        <v>2077</v>
      </c>
      <c r="G151">
        <v>5424</v>
      </c>
      <c r="H151">
        <v>5.46</v>
      </c>
      <c r="I151">
        <v>0.81</v>
      </c>
      <c r="J151">
        <v>4.6500000000000004</v>
      </c>
      <c r="K151" s="25" t="str" cm="1">
        <f t="array" ref="K151">IF(
  ISNUMBER(DATEVALUE(A151)),
  TEXT(DATEVALUE(A151),"yyyy-mm-dd"),
  IFERROR(
    TEXT(INDEX($A$2:$A$301,MATCH(1,
      ($B$2:$B$301=B151) * ($C$2:$C$301=C151) * ($D$2:$D$301=D151) * ($E$2:$E$301=E151) *
      ($F$2:$F$301=F151) * ($G$2:$G$301=G151) * ($H$2:$H$301=H151) * ($I$2:$I$301=I151) *
      ($J$2:$J$301=J151),0)),"yyyy-mm-dd"),
    "Perlu Klarifikasi"
  )
)</f>
        <v>2024-02-10</v>
      </c>
      <c r="L151" t="str" cm="1">
        <f t="array" ref="L151">IF(
  E151&lt;&gt;"Evening",
  E151,
  IFERROR(
    INDEX($E$2:$E$301, SMALL(
      IF(
        ($B$2:$B$301=B151) * ($C$2:$C$301=C151) * ($D$2:$D$301=D151) *
        ($F$2:$F$301=F151) * ($G$2:$G$301=G151) * ($H$2:$H$301=H151) * ($I$2:$I$301=I151) *
        ($J$2:$J$301=J151) * ($K$2:$K$301=K151) * ($E$2:$E$301&lt;&gt;"Evening"),
        ROW($E$2:$E$301)-ROW($E$2)+1,
        ""
      ),
    1)),
    "Night"
  )
)</f>
        <v>Day</v>
      </c>
    </row>
    <row r="152" spans="1:12" x14ac:dyDescent="0.3">
      <c r="A152" s="25" t="s">
        <v>65</v>
      </c>
      <c r="B152" t="s">
        <v>20</v>
      </c>
      <c r="C152" t="s">
        <v>21</v>
      </c>
      <c r="D152" t="s">
        <v>22</v>
      </c>
      <c r="E152" t="s">
        <v>27</v>
      </c>
      <c r="F152">
        <v>2077</v>
      </c>
      <c r="G152">
        <v>5424</v>
      </c>
      <c r="H152">
        <v>5.46</v>
      </c>
      <c r="I152">
        <v>0.81</v>
      </c>
      <c r="J152">
        <v>4.6500000000000004</v>
      </c>
      <c r="K152" s="25" t="str" cm="1">
        <f t="array" ref="K152">IF(
  ISNUMBER(DATEVALUE(A152)),
  TEXT(DATEVALUE(A152),"yyyy-mm-dd"),
  IFERROR(
    TEXT(INDEX($A$2:$A$301,MATCH(1,
      ($B$2:$B$301=B152) * ($C$2:$C$301=C152) * ($D$2:$D$301=D152) * ($E$2:$E$301=E152) *
      ($F$2:$F$301=F152) * ($G$2:$G$301=G152) * ($H$2:$H$301=H152) * ($I$2:$I$301=I152) *
      ($J$2:$J$301=J152),0)),"yyyy-mm-dd"),
    "Perlu Klarifikasi"
  )
)</f>
        <v>2024-02-10</v>
      </c>
      <c r="L152" t="str" cm="1">
        <f t="array" ref="L152">IF(
  E152&lt;&gt;"Evening",
  E152,
  IFERROR(
    INDEX($E$2:$E$301, SMALL(
      IF(
        ($B$2:$B$301=B152) * ($C$2:$C$301=C152) * ($D$2:$D$301=D152) *
        ($F$2:$F$301=F152) * ($G$2:$G$301=G152) * ($H$2:$H$301=H152) * ($I$2:$I$301=I152) *
        ($J$2:$J$301=J152) * ($K$2:$K$301=K152) * ($E$2:$E$301&lt;&gt;"Evening"),
        ROW($E$2:$E$301)-ROW($E$2)+1,
        ""
      ),
    1)),
    "Night"
  )
)</f>
        <v>Day</v>
      </c>
    </row>
    <row r="153" spans="1:12" x14ac:dyDescent="0.3">
      <c r="A153" s="25" t="s">
        <v>65</v>
      </c>
      <c r="B153" t="s">
        <v>20</v>
      </c>
      <c r="C153" t="s">
        <v>21</v>
      </c>
      <c r="D153" t="s">
        <v>22</v>
      </c>
      <c r="E153" t="s">
        <v>27</v>
      </c>
      <c r="F153">
        <v>2077</v>
      </c>
      <c r="G153">
        <v>5424</v>
      </c>
      <c r="H153">
        <v>5.46</v>
      </c>
      <c r="I153">
        <v>0.81</v>
      </c>
      <c r="J153">
        <v>4.6500000000000004</v>
      </c>
      <c r="K153" s="25" t="str" cm="1">
        <f t="array" ref="K153">IF(
  ISNUMBER(DATEVALUE(A153)),
  TEXT(DATEVALUE(A153),"yyyy-mm-dd"),
  IFERROR(
    TEXT(INDEX($A$2:$A$301,MATCH(1,
      ($B$2:$B$301=B153) * ($C$2:$C$301=C153) * ($D$2:$D$301=D153) * ($E$2:$E$301=E153) *
      ($F$2:$F$301=F153) * ($G$2:$G$301=G153) * ($H$2:$H$301=H153) * ($I$2:$I$301=I153) *
      ($J$2:$J$301=J153),0)),"yyyy-mm-dd"),
    "Perlu Klarifikasi"
  )
)</f>
        <v>2024-02-10</v>
      </c>
      <c r="L153" t="str" cm="1">
        <f t="array" ref="L153">IF(
  E153&lt;&gt;"Evening",
  E153,
  IFERROR(
    INDEX($E$2:$E$301, SMALL(
      IF(
        ($B$2:$B$301=B153) * ($C$2:$C$301=C153) * ($D$2:$D$301=D153) *
        ($F$2:$F$301=F153) * ($G$2:$G$301=G153) * ($H$2:$H$301=H153) * ($I$2:$I$301=I153) *
        ($J$2:$J$301=J153) * ($K$2:$K$301=K153) * ($E$2:$E$301&lt;&gt;"Evening"),
        ROW($E$2:$E$301)-ROW($E$2)+1,
        ""
      ),
    1)),
    "Night"
  )
)</f>
        <v>Day</v>
      </c>
    </row>
    <row r="154" spans="1:12" x14ac:dyDescent="0.3">
      <c r="A154" s="25" t="s">
        <v>90</v>
      </c>
      <c r="B154" t="s">
        <v>20</v>
      </c>
      <c r="C154" t="s">
        <v>25</v>
      </c>
      <c r="D154" t="s">
        <v>26</v>
      </c>
      <c r="E154" t="s">
        <v>27</v>
      </c>
      <c r="F154">
        <v>1076</v>
      </c>
      <c r="G154">
        <v>657</v>
      </c>
      <c r="H154">
        <v>5.9</v>
      </c>
      <c r="I154">
        <v>1.99</v>
      </c>
      <c r="J154">
        <v>3.91</v>
      </c>
      <c r="K154" s="25" t="str" cm="1">
        <f t="array" ref="K154">IF(
  ISNUMBER(DATEVALUE(A154)),
  TEXT(DATEVALUE(A154),"yyyy-mm-dd"),
  IFERROR(
    TEXT(INDEX($A$2:$A$301,MATCH(1,
      ($B$2:$B$301=B154) * ($C$2:$C$301=C154) * ($D$2:$D$301=D154) * ($E$2:$E$301=E154) *
      ($F$2:$F$301=F154) * ($G$2:$G$301=G154) * ($H$2:$H$301=H154) * ($I$2:$I$301=I154) *
      ($J$2:$J$301=J154),0)),"yyyy-mm-dd"),
    "Perlu Klarifikasi"
  )
)</f>
        <v>2024-02-11</v>
      </c>
      <c r="L154" t="str" cm="1">
        <f t="array" ref="L154">IF(
  E154&lt;&gt;"Evening",
  E154,
  IFERROR(
    INDEX($E$2:$E$301, SMALL(
      IF(
        ($B$2:$B$301=B154) * ($C$2:$C$301=C154) * ($D$2:$D$301=D154) *
        ($F$2:$F$301=F154) * ($G$2:$G$301=G154) * ($H$2:$H$301=H154) * ($I$2:$I$301=I154) *
        ($J$2:$J$301=J154) * ($K$2:$K$301=K154) * ($E$2:$E$301&lt;&gt;"Evening"),
        ROW($E$2:$E$301)-ROW($E$2)+1,
        ""
      ),
    1)),
    "Night"
  )
)</f>
        <v>Day</v>
      </c>
    </row>
    <row r="155" spans="1:12" x14ac:dyDescent="0.3">
      <c r="A155" s="25" t="s">
        <v>19</v>
      </c>
      <c r="B155" t="s">
        <v>20</v>
      </c>
      <c r="C155" t="s">
        <v>21</v>
      </c>
      <c r="D155" t="s">
        <v>22</v>
      </c>
      <c r="E155" t="s">
        <v>23</v>
      </c>
      <c r="F155">
        <v>2760</v>
      </c>
      <c r="G155">
        <v>2366</v>
      </c>
      <c r="H155">
        <v>9.06</v>
      </c>
      <c r="I155">
        <v>0.31</v>
      </c>
      <c r="J155">
        <v>8.75</v>
      </c>
      <c r="K155" s="25" t="str" cm="1">
        <f t="array" ref="K155">IF(
  ISNUMBER(DATEVALUE(A155)),
  TEXT(DATEVALUE(A155),"yyyy-mm-dd"),
  IFERROR(
    TEXT(INDEX($A$2:$A$301,MATCH(1,
      ($B$2:$B$301=B155) * ($C$2:$C$301=C155) * ($D$2:$D$301=D155) * ($E$2:$E$301=E155) *
      ($F$2:$F$301=F155) * ($G$2:$G$301=G155) * ($H$2:$H$301=H155) * ($I$2:$I$301=I155) *
      ($J$2:$J$301=J155),0)),"yyyy-mm-dd"),
    "Perlu Klarifikasi"
  )
)</f>
        <v>2024-02-12</v>
      </c>
      <c r="L155" t="str" cm="1">
        <f t="array" ref="L155">IF(
  E155&lt;&gt;"Evening",
  E155,
  IFERROR(
    INDEX($E$2:$E$301, SMALL(
      IF(
        ($B$2:$B$301=B155) * ($C$2:$C$301=C155) * ($D$2:$D$301=D155) *
        ($F$2:$F$301=F155) * ($G$2:$G$301=G155) * ($H$2:$H$301=H155) * ($I$2:$I$301=I155) *
        ($J$2:$J$301=J155) * ($K$2:$K$301=K155) * ($E$2:$E$301&lt;&gt;"Evening"),
        ROW($E$2:$E$301)-ROW($E$2)+1,
        ""
      ),
    1)),
    "Night"
  )
)</f>
        <v>Night</v>
      </c>
    </row>
    <row r="156" spans="1:12" x14ac:dyDescent="0.3">
      <c r="A156" s="25" t="s">
        <v>19</v>
      </c>
      <c r="B156" t="s">
        <v>20</v>
      </c>
      <c r="C156" t="s">
        <v>21</v>
      </c>
      <c r="D156" t="s">
        <v>22</v>
      </c>
      <c r="E156" t="s">
        <v>23</v>
      </c>
      <c r="F156">
        <v>2760</v>
      </c>
      <c r="G156">
        <v>2366</v>
      </c>
      <c r="H156">
        <v>9.06</v>
      </c>
      <c r="I156">
        <v>0.31</v>
      </c>
      <c r="J156">
        <v>8.75</v>
      </c>
      <c r="K156" s="25" t="str" cm="1">
        <f t="array" ref="K156">IF(
  ISNUMBER(DATEVALUE(A156)),
  TEXT(DATEVALUE(A156),"yyyy-mm-dd"),
  IFERROR(
    TEXT(INDEX($A$2:$A$301,MATCH(1,
      ($B$2:$B$301=B156) * ($C$2:$C$301=C156) * ($D$2:$D$301=D156) * ($E$2:$E$301=E156) *
      ($F$2:$F$301=F156) * ($G$2:$G$301=G156) * ($H$2:$H$301=H156) * ($I$2:$I$301=I156) *
      ($J$2:$J$301=J156),0)),"yyyy-mm-dd"),
    "Perlu Klarifikasi"
  )
)</f>
        <v>2024-02-12</v>
      </c>
      <c r="L156" t="str" cm="1">
        <f t="array" ref="L156">IF(
  E156&lt;&gt;"Evening",
  E156,
  IFERROR(
    INDEX($E$2:$E$301, SMALL(
      IF(
        ($B$2:$B$301=B156) * ($C$2:$C$301=C156) * ($D$2:$D$301=D156) *
        ($F$2:$F$301=F156) * ($G$2:$G$301=G156) * ($H$2:$H$301=H156) * ($I$2:$I$301=I156) *
        ($J$2:$J$301=J156) * ($K$2:$K$301=K156) * ($E$2:$E$301&lt;&gt;"Evening"),
        ROW($E$2:$E$301)-ROW($E$2)+1,
        ""
      ),
    1)),
    "Night"
  )
)</f>
        <v>Night</v>
      </c>
    </row>
    <row r="157" spans="1:12" x14ac:dyDescent="0.3">
      <c r="A157" s="25" t="s">
        <v>19</v>
      </c>
      <c r="B157" t="s">
        <v>20</v>
      </c>
      <c r="C157" t="s">
        <v>21</v>
      </c>
      <c r="D157" t="s">
        <v>22</v>
      </c>
      <c r="E157" t="s">
        <v>23</v>
      </c>
      <c r="F157">
        <v>2760</v>
      </c>
      <c r="G157">
        <v>2366</v>
      </c>
      <c r="H157">
        <v>9.06</v>
      </c>
      <c r="I157">
        <v>0.31</v>
      </c>
      <c r="J157">
        <v>8.75</v>
      </c>
      <c r="K157" s="25" t="str" cm="1">
        <f t="array" ref="K157">IF(
  ISNUMBER(DATEVALUE(A157)),
  TEXT(DATEVALUE(A157),"yyyy-mm-dd"),
  IFERROR(
    TEXT(INDEX($A$2:$A$301,MATCH(1,
      ($B$2:$B$301=B157) * ($C$2:$C$301=C157) * ($D$2:$D$301=D157) * ($E$2:$E$301=E157) *
      ($F$2:$F$301=F157) * ($G$2:$G$301=G157) * ($H$2:$H$301=H157) * ($I$2:$I$301=I157) *
      ($J$2:$J$301=J157),0)),"yyyy-mm-dd"),
    "Perlu Klarifikasi"
  )
)</f>
        <v>2024-02-12</v>
      </c>
      <c r="L157" t="str" cm="1">
        <f t="array" ref="L157">IF(
  E157&lt;&gt;"Evening",
  E157,
  IFERROR(
    INDEX($E$2:$E$301, SMALL(
      IF(
        ($B$2:$B$301=B157) * ($C$2:$C$301=C157) * ($D$2:$D$301=D157) *
        ($F$2:$F$301=F157) * ($G$2:$G$301=G157) * ($H$2:$H$301=H157) * ($I$2:$I$301=I157) *
        ($J$2:$J$301=J157) * ($K$2:$K$301=K157) * ($E$2:$E$301&lt;&gt;"Evening"),
        ROW($E$2:$E$301)-ROW($E$2)+1,
        ""
      ),
    1)),
    "Night"
  )
)</f>
        <v>Night</v>
      </c>
    </row>
    <row r="158" spans="1:12" x14ac:dyDescent="0.3">
      <c r="A158" s="25" t="s">
        <v>28</v>
      </c>
      <c r="B158" t="s">
        <v>29</v>
      </c>
      <c r="C158" t="s">
        <v>30</v>
      </c>
      <c r="D158" t="s">
        <v>31</v>
      </c>
      <c r="E158" s="22" t="s">
        <v>32</v>
      </c>
      <c r="F158">
        <v>1210</v>
      </c>
      <c r="G158">
        <v>2267</v>
      </c>
      <c r="H158">
        <v>8.6300000000000008</v>
      </c>
      <c r="I158">
        <v>0.94</v>
      </c>
      <c r="J158">
        <v>7.69</v>
      </c>
      <c r="K158" s="25" t="str" cm="1">
        <f t="array" ref="K158">IF(
  ISNUMBER(DATEVALUE(A158)),
  TEXT(DATEVALUE(A158),"yyyy-mm-dd"),
  IFERROR(
    TEXT(INDEX($A$2:$A$301,MATCH(1,
      ($B$2:$B$301=B158) * ($C$2:$C$301=C158) * ($D$2:$D$301=D158) * ($E$2:$E$301=E158) *
      ($F$2:$F$301=F158) * ($G$2:$G$301=G158) * ($H$2:$H$301=H158) * ($I$2:$I$301=I158) *
      ($J$2:$J$301=J158),0)),"yyyy-mm-dd"),
    "Perlu Klarifikasi"
  )
)</f>
        <v>2024-02-14</v>
      </c>
      <c r="L158" t="str" cm="1">
        <f t="array" ref="L158">IF(
  E158&lt;&gt;"Evening",
  E158,
  IFERROR(
    INDEX($E$2:$E$301, SMALL(
      IF(
        ($B$2:$B$301=B158) * ($C$2:$C$301=C158) * ($D$2:$D$301=D158) *
        ($F$2:$F$301=F158) * ($G$2:$G$301=G158) * ($H$2:$H$301=H158) * ($I$2:$I$301=I158) *
        ($J$2:$J$301=J158) * ($K$2:$K$301=K158) * ($E$2:$E$301&lt;&gt;"Evening"),
        ROW($E$2:$E$301)-ROW($E$2)+1,
        ""
      ),
    1)),
    "Night"
  )
)</f>
        <v>Day</v>
      </c>
    </row>
    <row r="159" spans="1:12" x14ac:dyDescent="0.3">
      <c r="A159" s="25" t="s">
        <v>28</v>
      </c>
      <c r="B159" t="s">
        <v>34</v>
      </c>
      <c r="C159" t="s">
        <v>21</v>
      </c>
      <c r="D159" t="s">
        <v>26</v>
      </c>
      <c r="E159" t="s">
        <v>23</v>
      </c>
      <c r="F159">
        <v>5409</v>
      </c>
      <c r="G159">
        <v>4542</v>
      </c>
      <c r="H159">
        <v>5.83</v>
      </c>
      <c r="I159">
        <v>0.45</v>
      </c>
      <c r="J159">
        <v>5.38</v>
      </c>
      <c r="K159" s="25" t="str" cm="1">
        <f t="array" ref="K159">IF(
  ISNUMBER(DATEVALUE(A159)),
  TEXT(DATEVALUE(A159),"yyyy-mm-dd"),
  IFERROR(
    TEXT(INDEX($A$2:$A$301,MATCH(1,
      ($B$2:$B$301=B159) * ($C$2:$C$301=C159) * ($D$2:$D$301=D159) * ($E$2:$E$301=E159) *
      ($F$2:$F$301=F159) * ($G$2:$G$301=G159) * ($H$2:$H$301=H159) * ($I$2:$I$301=I159) *
      ($J$2:$J$301=J159),0)),"yyyy-mm-dd"),
    "Perlu Klarifikasi"
  )
)</f>
        <v>2024-02-14</v>
      </c>
      <c r="L159" t="str" cm="1">
        <f t="array" ref="L159">IF(
  E159&lt;&gt;"Evening",
  E159,
  IFERROR(
    INDEX($E$2:$E$301, SMALL(
      IF(
        ($B$2:$B$301=B159) * ($C$2:$C$301=C159) * ($D$2:$D$301=D159) *
        ($F$2:$F$301=F159) * ($G$2:$G$301=G159) * ($H$2:$H$301=H159) * ($I$2:$I$301=I159) *
        ($J$2:$J$301=J159) * ($K$2:$K$301=K159) * ($E$2:$E$301&lt;&gt;"Evening"),
        ROW($E$2:$E$301)-ROW($E$2)+1,
        ""
      ),
    1)),
    "Night"
  )
)</f>
        <v>Night</v>
      </c>
    </row>
    <row r="160" spans="1:12" x14ac:dyDescent="0.3">
      <c r="A160" s="25" t="s">
        <v>28</v>
      </c>
      <c r="B160" t="s">
        <v>29</v>
      </c>
      <c r="C160" t="s">
        <v>30</v>
      </c>
      <c r="D160" t="s">
        <v>31</v>
      </c>
      <c r="E160" t="s">
        <v>27</v>
      </c>
      <c r="F160">
        <v>1210</v>
      </c>
      <c r="G160">
        <v>2267</v>
      </c>
      <c r="H160">
        <v>8.6300000000000008</v>
      </c>
      <c r="I160">
        <v>0.94</v>
      </c>
      <c r="J160">
        <v>7.69</v>
      </c>
      <c r="K160" s="25" t="str" cm="1">
        <f t="array" ref="K160">IF(
  ISNUMBER(DATEVALUE(A160)),
  TEXT(DATEVALUE(A160),"yyyy-mm-dd"),
  IFERROR(
    TEXT(INDEX($A$2:$A$301,MATCH(1,
      ($B$2:$B$301=B160) * ($C$2:$C$301=C160) * ($D$2:$D$301=D160) * ($E$2:$E$301=E160) *
      ($F$2:$F$301=F160) * ($G$2:$G$301=G160) * ($H$2:$H$301=H160) * ($I$2:$I$301=I160) *
      ($J$2:$J$301=J160),0)),"yyyy-mm-dd"),
    "Perlu Klarifikasi"
  )
)</f>
        <v>2024-02-14</v>
      </c>
      <c r="L160" t="str" cm="1">
        <f t="array" ref="L160">IF(
  E160&lt;&gt;"Evening",
  E160,
  IFERROR(
    INDEX($E$2:$E$301, SMALL(
      IF(
        ($B$2:$B$301=B160) * ($C$2:$C$301=C160) * ($D$2:$D$301=D160) *
        ($F$2:$F$301=F160) * ($G$2:$G$301=G160) * ($H$2:$H$301=H160) * ($I$2:$I$301=I160) *
        ($J$2:$J$301=J160) * ($K$2:$K$301=K160) * ($E$2:$E$301&lt;&gt;"Evening"),
        ROW($E$2:$E$301)-ROW($E$2)+1,
        ""
      ),
    1)),
    "Night"
  )
)</f>
        <v>Day</v>
      </c>
    </row>
    <row r="161" spans="1:12" x14ac:dyDescent="0.3">
      <c r="A161" s="25" t="s">
        <v>28</v>
      </c>
      <c r="B161" t="s">
        <v>34</v>
      </c>
      <c r="C161" t="s">
        <v>21</v>
      </c>
      <c r="D161" t="s">
        <v>26</v>
      </c>
      <c r="E161" t="s">
        <v>23</v>
      </c>
      <c r="F161">
        <v>5409</v>
      </c>
      <c r="G161">
        <v>4542</v>
      </c>
      <c r="H161">
        <v>5.83</v>
      </c>
      <c r="I161">
        <v>0.45</v>
      </c>
      <c r="J161">
        <v>5.38</v>
      </c>
      <c r="K161" s="25" t="str" cm="1">
        <f t="array" ref="K161">IF(
  ISNUMBER(DATEVALUE(A161)),
  TEXT(DATEVALUE(A161),"yyyy-mm-dd"),
  IFERROR(
    TEXT(INDEX($A$2:$A$301,MATCH(1,
      ($B$2:$B$301=B161) * ($C$2:$C$301=C161) * ($D$2:$D$301=D161) * ($E$2:$E$301=E161) *
      ($F$2:$F$301=F161) * ($G$2:$G$301=G161) * ($H$2:$H$301=H161) * ($I$2:$I$301=I161) *
      ($J$2:$J$301=J161),0)),"yyyy-mm-dd"),
    "Perlu Klarifikasi"
  )
)</f>
        <v>2024-02-14</v>
      </c>
      <c r="L161" t="str" cm="1">
        <f t="array" ref="L161">IF(
  E161&lt;&gt;"Evening",
  E161,
  IFERROR(
    INDEX($E$2:$E$301, SMALL(
      IF(
        ($B$2:$B$301=B161) * ($C$2:$C$301=C161) * ($D$2:$D$301=D161) *
        ($F$2:$F$301=F161) * ($G$2:$G$301=G161) * ($H$2:$H$301=H161) * ($I$2:$I$301=I161) *
        ($J$2:$J$301=J161) * ($K$2:$K$301=K161) * ($E$2:$E$301&lt;&gt;"Evening"),
        ROW($E$2:$E$301)-ROW($E$2)+1,
        ""
      ),
    1)),
    "Night"
  )
)</f>
        <v>Night</v>
      </c>
    </row>
    <row r="162" spans="1:12" x14ac:dyDescent="0.3">
      <c r="A162" s="25" t="s">
        <v>28</v>
      </c>
      <c r="B162" t="s">
        <v>34</v>
      </c>
      <c r="C162" t="s">
        <v>25</v>
      </c>
      <c r="D162" t="s">
        <v>31</v>
      </c>
      <c r="E162" t="s">
        <v>27</v>
      </c>
      <c r="F162">
        <v>6662</v>
      </c>
      <c r="G162">
        <v>132</v>
      </c>
      <c r="H162">
        <v>9.84</v>
      </c>
      <c r="I162">
        <v>0.52</v>
      </c>
      <c r="J162">
        <v>9.32</v>
      </c>
      <c r="K162" s="25" t="str" cm="1">
        <f t="array" ref="K162">IF(
  ISNUMBER(DATEVALUE(A162)),
  TEXT(DATEVALUE(A162),"yyyy-mm-dd"),
  IFERROR(
    TEXT(INDEX($A$2:$A$301,MATCH(1,
      ($B$2:$B$301=B162) * ($C$2:$C$301=C162) * ($D$2:$D$301=D162) * ($E$2:$E$301=E162) *
      ($F$2:$F$301=F162) * ($G$2:$G$301=G162) * ($H$2:$H$301=H162) * ($I$2:$I$301=I162) *
      ($J$2:$J$301=J162),0)),"yyyy-mm-dd"),
    "Perlu Klarifikasi"
  )
)</f>
        <v>2024-02-14</v>
      </c>
      <c r="L162" t="str" cm="1">
        <f t="array" ref="L162">IF(
  E162&lt;&gt;"Evening",
  E162,
  IFERROR(
    INDEX($E$2:$E$301, SMALL(
      IF(
        ($B$2:$B$301=B162) * ($C$2:$C$301=C162) * ($D$2:$D$301=D162) *
        ($F$2:$F$301=F162) * ($G$2:$G$301=G162) * ($H$2:$H$301=H162) * ($I$2:$I$301=I162) *
        ($J$2:$J$301=J162) * ($K$2:$K$301=K162) * ($E$2:$E$301&lt;&gt;"Evening"),
        ROW($E$2:$E$301)-ROW($E$2)+1,
        ""
      ),
    1)),
    "Night"
  )
)</f>
        <v>Day</v>
      </c>
    </row>
    <row r="163" spans="1:12" x14ac:dyDescent="0.3">
      <c r="A163" s="25" t="s">
        <v>28</v>
      </c>
      <c r="B163" t="s">
        <v>29</v>
      </c>
      <c r="C163" t="s">
        <v>30</v>
      </c>
      <c r="D163" t="s">
        <v>31</v>
      </c>
      <c r="E163" t="s">
        <v>27</v>
      </c>
      <c r="F163">
        <v>1210</v>
      </c>
      <c r="G163">
        <v>2267</v>
      </c>
      <c r="H163">
        <v>8.6300000000000008</v>
      </c>
      <c r="I163">
        <v>0.94</v>
      </c>
      <c r="J163">
        <v>7.69</v>
      </c>
      <c r="K163" s="25" t="str" cm="1">
        <f t="array" ref="K163">IF(
  ISNUMBER(DATEVALUE(A163)),
  TEXT(DATEVALUE(A163),"yyyy-mm-dd"),
  IFERROR(
    TEXT(INDEX($A$2:$A$301,MATCH(1,
      ($B$2:$B$301=B163) * ($C$2:$C$301=C163) * ($D$2:$D$301=D163) * ($E$2:$E$301=E163) *
      ($F$2:$F$301=F163) * ($G$2:$G$301=G163) * ($H$2:$H$301=H163) * ($I$2:$I$301=I163) *
      ($J$2:$J$301=J163),0)),"yyyy-mm-dd"),
    "Perlu Klarifikasi"
  )
)</f>
        <v>2024-02-14</v>
      </c>
      <c r="L163" t="str" cm="1">
        <f t="array" ref="L163">IF(
  E163&lt;&gt;"Evening",
  E163,
  IFERROR(
    INDEX($E$2:$E$301, SMALL(
      IF(
        ($B$2:$B$301=B163) * ($C$2:$C$301=C163) * ($D$2:$D$301=D163) *
        ($F$2:$F$301=F163) * ($G$2:$G$301=G163) * ($H$2:$H$301=H163) * ($I$2:$I$301=I163) *
        ($J$2:$J$301=J163) * ($K$2:$K$301=K163) * ($E$2:$E$301&lt;&gt;"Evening"),
        ROW($E$2:$E$301)-ROW($E$2)+1,
        ""
      ),
    1)),
    "Night"
  )
)</f>
        <v>Day</v>
      </c>
    </row>
    <row r="164" spans="1:12" x14ac:dyDescent="0.3">
      <c r="A164" s="26" t="s">
        <v>52</v>
      </c>
      <c r="B164" t="s">
        <v>34</v>
      </c>
      <c r="C164" t="s">
        <v>25</v>
      </c>
      <c r="D164" t="s">
        <v>31</v>
      </c>
      <c r="E164" t="s">
        <v>27</v>
      </c>
      <c r="F164">
        <v>6662</v>
      </c>
      <c r="G164">
        <v>132</v>
      </c>
      <c r="H164">
        <v>9.84</v>
      </c>
      <c r="I164">
        <v>0.52</v>
      </c>
      <c r="J164">
        <v>9.32</v>
      </c>
      <c r="K164" s="25" t="str" cm="1">
        <f t="array" ref="K164">IF(
  ISNUMBER(DATEVALUE(A164)),
  TEXT(DATEVALUE(A164),"yyyy-mm-dd"),
  IFERROR(
    TEXT(INDEX($A$2:$A$301,MATCH(1,
      ($B$2:$B$301=B164) * ($C$2:$C$301=C164) * ($D$2:$D$301=D164) * ($E$2:$E$301=E164) *
      ($F$2:$F$301=F164) * ($G$2:$G$301=G164) * ($H$2:$H$301=H164) * ($I$2:$I$301=I164) *
      ($J$2:$J$301=J164),0)),"yyyy-mm-dd"),
    "Perlu Klarifikasi"
  )
)</f>
        <v>2024-02-14</v>
      </c>
      <c r="L164" t="str" cm="1">
        <f t="array" ref="L164">IF(
  E164&lt;&gt;"Evening",
  E164,
  IFERROR(
    INDEX($E$2:$E$301, SMALL(
      IF(
        ($B$2:$B$301=B164) * ($C$2:$C$301=C164) * ($D$2:$D$301=D164) *
        ($F$2:$F$301=F164) * ($G$2:$G$301=G164) * ($H$2:$H$301=H164) * ($I$2:$I$301=I164) *
        ($J$2:$J$301=J164) * ($K$2:$K$301=K164) * ($E$2:$E$301&lt;&gt;"Evening"),
        ROW($E$2:$E$301)-ROW($E$2)+1,
        ""
      ),
    1)),
    "Night"
  )
)</f>
        <v>Day</v>
      </c>
    </row>
    <row r="165" spans="1:12" x14ac:dyDescent="0.3">
      <c r="A165" s="25" t="s">
        <v>56</v>
      </c>
      <c r="B165" t="s">
        <v>34</v>
      </c>
      <c r="C165" t="s">
        <v>25</v>
      </c>
      <c r="D165" t="s">
        <v>26</v>
      </c>
      <c r="E165" t="s">
        <v>23</v>
      </c>
      <c r="F165">
        <v>4744</v>
      </c>
      <c r="G165">
        <v>4602</v>
      </c>
      <c r="H165">
        <v>9.4499999999999993</v>
      </c>
      <c r="I165">
        <v>0.17</v>
      </c>
      <c r="J165">
        <v>9.2799999999999994</v>
      </c>
      <c r="K165" s="25" t="str" cm="1">
        <f t="array" ref="K165">IF(
  ISNUMBER(DATEVALUE(A165)),
  TEXT(DATEVALUE(A165),"yyyy-mm-dd"),
  IFERROR(
    TEXT(INDEX($A$2:$A$301,MATCH(1,
      ($B$2:$B$301=B165) * ($C$2:$C$301=C165) * ($D$2:$D$301=D165) * ($E$2:$E$301=E165) *
      ($F$2:$F$301=F165) * ($G$2:$G$301=G165) * ($H$2:$H$301=H165) * ($I$2:$I$301=I165) *
      ($J$2:$J$301=J165),0)),"yyyy-mm-dd"),
    "Perlu Klarifikasi"
  )
)</f>
        <v>2024-02-16</v>
      </c>
      <c r="L165" t="str" cm="1">
        <f t="array" ref="L165">IF(
  E165&lt;&gt;"Evening",
  E165,
  IFERROR(
    INDEX($E$2:$E$301, SMALL(
      IF(
        ($B$2:$B$301=B165) * ($C$2:$C$301=C165) * ($D$2:$D$301=D165) *
        ($F$2:$F$301=F165) * ($G$2:$G$301=G165) * ($H$2:$H$301=H165) * ($I$2:$I$301=I165) *
        ($J$2:$J$301=J165) * ($K$2:$K$301=K165) * ($E$2:$E$301&lt;&gt;"Evening"),
        ROW($E$2:$E$301)-ROW($E$2)+1,
        ""
      ),
    1)),
    "Night"
  )
)</f>
        <v>Night</v>
      </c>
    </row>
    <row r="166" spans="1:12" x14ac:dyDescent="0.3">
      <c r="A166" s="25" t="s">
        <v>56</v>
      </c>
      <c r="B166" t="s">
        <v>34</v>
      </c>
      <c r="C166" t="s">
        <v>25</v>
      </c>
      <c r="D166" t="s">
        <v>26</v>
      </c>
      <c r="E166" t="s">
        <v>23</v>
      </c>
      <c r="F166">
        <v>4744</v>
      </c>
      <c r="G166">
        <v>4602</v>
      </c>
      <c r="H166">
        <v>9.4499999999999993</v>
      </c>
      <c r="I166">
        <v>0.17</v>
      </c>
      <c r="J166">
        <v>9.2799999999999994</v>
      </c>
      <c r="K166" s="25" t="str" cm="1">
        <f t="array" ref="K166">IF(
  ISNUMBER(DATEVALUE(A166)),
  TEXT(DATEVALUE(A166),"yyyy-mm-dd"),
  IFERROR(
    TEXT(INDEX($A$2:$A$301,MATCH(1,
      ($B$2:$B$301=B166) * ($C$2:$C$301=C166) * ($D$2:$D$301=D166) * ($E$2:$E$301=E166) *
      ($F$2:$F$301=F166) * ($G$2:$G$301=G166) * ($H$2:$H$301=H166) * ($I$2:$I$301=I166) *
      ($J$2:$J$301=J166),0)),"yyyy-mm-dd"),
    "Perlu Klarifikasi"
  )
)</f>
        <v>2024-02-16</v>
      </c>
      <c r="L166" t="str" cm="1">
        <f t="array" ref="L166">IF(
  E166&lt;&gt;"Evening",
  E166,
  IFERROR(
    INDEX($E$2:$E$301, SMALL(
      IF(
        ($B$2:$B$301=B166) * ($C$2:$C$301=C166) * ($D$2:$D$301=D166) *
        ($F$2:$F$301=F166) * ($G$2:$G$301=G166) * ($H$2:$H$301=H166) * ($I$2:$I$301=I166) *
        ($J$2:$J$301=J166) * ($K$2:$K$301=K166) * ($E$2:$E$301&lt;&gt;"Evening"),
        ROW($E$2:$E$301)-ROW($E$2)+1,
        ""
      ),
    1)),
    "Night"
  )
)</f>
        <v>Night</v>
      </c>
    </row>
    <row r="167" spans="1:12" x14ac:dyDescent="0.3">
      <c r="A167" s="25" t="s">
        <v>56</v>
      </c>
      <c r="B167" t="s">
        <v>34</v>
      </c>
      <c r="C167" t="s">
        <v>25</v>
      </c>
      <c r="D167" t="s">
        <v>26</v>
      </c>
      <c r="E167" t="s">
        <v>23</v>
      </c>
      <c r="F167">
        <v>4744</v>
      </c>
      <c r="G167">
        <v>4602</v>
      </c>
      <c r="H167">
        <v>9.4499999999999993</v>
      </c>
      <c r="I167">
        <v>0.17</v>
      </c>
      <c r="J167">
        <v>9.2799999999999994</v>
      </c>
      <c r="K167" s="25" t="str" cm="1">
        <f t="array" ref="K167">IF(
  ISNUMBER(DATEVALUE(A167)),
  TEXT(DATEVALUE(A167),"yyyy-mm-dd"),
  IFERROR(
    TEXT(INDEX($A$2:$A$301,MATCH(1,
      ($B$2:$B$301=B167) * ($C$2:$C$301=C167) * ($D$2:$D$301=D167) * ($E$2:$E$301=E167) *
      ($F$2:$F$301=F167) * ($G$2:$G$301=G167) * ($H$2:$H$301=H167) * ($I$2:$I$301=I167) *
      ($J$2:$J$301=J167),0)),"yyyy-mm-dd"),
    "Perlu Klarifikasi"
  )
)</f>
        <v>2024-02-16</v>
      </c>
      <c r="L167" t="str" cm="1">
        <f t="array" ref="L167">IF(
  E167&lt;&gt;"Evening",
  E167,
  IFERROR(
    INDEX($E$2:$E$301, SMALL(
      IF(
        ($B$2:$B$301=B167) * ($C$2:$C$301=C167) * ($D$2:$D$301=D167) *
        ($F$2:$F$301=F167) * ($G$2:$G$301=G167) * ($H$2:$H$301=H167) * ($I$2:$I$301=I167) *
        ($J$2:$J$301=J167) * ($K$2:$K$301=K167) * ($E$2:$E$301&lt;&gt;"Evening"),
        ROW($E$2:$E$301)-ROW($E$2)+1,
        ""
      ),
    1)),
    "Night"
  )
)</f>
        <v>Night</v>
      </c>
    </row>
    <row r="168" spans="1:12" x14ac:dyDescent="0.3">
      <c r="A168" s="25" t="s">
        <v>56</v>
      </c>
      <c r="B168" t="s">
        <v>29</v>
      </c>
      <c r="C168" t="s">
        <v>21</v>
      </c>
      <c r="D168" t="s">
        <v>22</v>
      </c>
      <c r="E168" t="s">
        <v>23</v>
      </c>
      <c r="F168">
        <v>5154</v>
      </c>
      <c r="G168" s="27" cm="1">
        <f t="array" ref="G168">MEDIAN(
  _xlfn._xlws.FILTER(Produksi!G2:G301,
    (B22:B321=B168) *
    (C22:C321=C168) *
    (D22:D321=D168) *
    (E22:E321=E168)
  )
)</f>
        <v>2366</v>
      </c>
      <c r="H168">
        <v>5.0599999999999996</v>
      </c>
      <c r="I168">
        <v>0.16</v>
      </c>
      <c r="J168">
        <v>4.9000000000000004</v>
      </c>
      <c r="K168" s="25" t="str" cm="1">
        <f t="array" ref="K168">IF(
  ISNUMBER(DATEVALUE(A168)),
  TEXT(DATEVALUE(A168),"yyyy-mm-dd"),
  IFERROR(
    TEXT(INDEX($A$2:$A$301,MATCH(1,
      ($B$2:$B$301=B168) * ($C$2:$C$301=C168) * ($D$2:$D$301=D168) * ($E$2:$E$301=E168) *
      ($F$2:$F$301=F168) * ($G$2:$G$301=G168) * ($H$2:$H$301=H168) * ($I$2:$I$301=I168) *
      ($J$2:$J$301=J168),0)),"yyyy-mm-dd"),
    "Perlu Klarifikasi"
  )
)</f>
        <v>2024-02-16</v>
      </c>
      <c r="L168" t="str" cm="1">
        <f t="array" ref="L168">IF(
  E168&lt;&gt;"Evening",
  E168,
  IFERROR(
    INDEX($E$2:$E$301, SMALL(
      IF(
        ($B$2:$B$301=B168) * ($C$2:$C$301=C168) * ($D$2:$D$301=D168) *
        ($F$2:$F$301=F168) * ($G$2:$G$301=G168) * ($H$2:$H$301=H168) * ($I$2:$I$301=I168) *
        ($J$2:$J$301=J168) * ($K$2:$K$301=K168) * ($E$2:$E$301&lt;&gt;"Evening"),
        ROW($E$2:$E$301)-ROW($E$2)+1,
        ""
      ),
    1)),
    "Night"
  )
)</f>
        <v>Night</v>
      </c>
    </row>
    <row r="169" spans="1:12" x14ac:dyDescent="0.3">
      <c r="A169" s="25" t="s">
        <v>56</v>
      </c>
      <c r="B169" t="s">
        <v>29</v>
      </c>
      <c r="C169" t="s">
        <v>21</v>
      </c>
      <c r="D169" t="s">
        <v>22</v>
      </c>
      <c r="E169" t="s">
        <v>23</v>
      </c>
      <c r="F169">
        <v>5154</v>
      </c>
      <c r="G169" s="27">
        <v>2366</v>
      </c>
      <c r="H169">
        <v>5.0599999999999996</v>
      </c>
      <c r="I169">
        <v>0.16</v>
      </c>
      <c r="J169">
        <v>4.9000000000000004</v>
      </c>
      <c r="K169" s="25" t="str" cm="1">
        <f t="array" ref="K169">IF(
  ISNUMBER(DATEVALUE(A169)),
  TEXT(DATEVALUE(A169),"yyyy-mm-dd"),
  IFERROR(
    TEXT(INDEX($A$2:$A$301,MATCH(1,
      ($B$2:$B$301=B169) * ($C$2:$C$301=C169) * ($D$2:$D$301=D169) * ($E$2:$E$301=E169) *
      ($F$2:$F$301=F169) * ($G$2:$G$301=G169) * ($H$2:$H$301=H169) * ($I$2:$I$301=I169) *
      ($J$2:$J$301=J169),0)),"yyyy-mm-dd"),
    "Perlu Klarifikasi"
  )
)</f>
        <v>2024-02-16</v>
      </c>
      <c r="L169" t="str" cm="1">
        <f t="array" ref="L169">IF(
  E169&lt;&gt;"Evening",
  E169,
  IFERROR(
    INDEX($E$2:$E$301, SMALL(
      IF(
        ($B$2:$B$301=B169) * ($C$2:$C$301=C169) * ($D$2:$D$301=D169) *
        ($F$2:$F$301=F169) * ($G$2:$G$301=G169) * ($H$2:$H$301=H169) * ($I$2:$I$301=I169) *
        ($J$2:$J$301=J169) * ($K$2:$K$301=K169) * ($E$2:$E$301&lt;&gt;"Evening"),
        ROW($E$2:$E$301)-ROW($E$2)+1,
        ""
      ),
    1)),
    "Night"
  )
)</f>
        <v>Night</v>
      </c>
    </row>
    <row r="170" spans="1:12" x14ac:dyDescent="0.3">
      <c r="A170" s="26"/>
      <c r="B170" t="s">
        <v>29</v>
      </c>
      <c r="C170" t="s">
        <v>21</v>
      </c>
      <c r="D170" t="s">
        <v>22</v>
      </c>
      <c r="E170" t="s">
        <v>23</v>
      </c>
      <c r="F170">
        <v>4956</v>
      </c>
      <c r="G170">
        <v>5518</v>
      </c>
      <c r="H170">
        <v>7.4</v>
      </c>
      <c r="I170">
        <v>0.09</v>
      </c>
      <c r="J170">
        <v>7.31</v>
      </c>
      <c r="K170" s="25" t="str" cm="1">
        <f t="array" ref="K170">TEXT(
  MEDIAN(
    IF(
      ($B$2:$B$301=B170) * ($C$2:$C$301=C170) * ($D$2:$D$301=D170) * ($E$2:$E$301=E170) * ISNUMBER(DATEVALUE($A$2:$A$301)),
      DATEVALUE($A$2:$A$301)
    )
  ),
  "yyyy-mm-dd"
)</f>
        <v>2024-02-16</v>
      </c>
      <c r="L170" t="str" cm="1">
        <f t="array" ref="L170">IF(
  E170&lt;&gt;"Evening",
  E170,
  IFERROR(
    INDEX($E$2:$E$301, SMALL(
      IF(
        ($B$2:$B$301=B170) * ($C$2:$C$301=C170) * ($D$2:$D$301=D170) *
        ($F$2:$F$301=F170) * ($G$2:$G$301=G170) * ($H$2:$H$301=H170) * ($I$2:$I$301=I170) *
        ($J$2:$J$301=J170) * ($K$2:$K$301=K170) * ($E$2:$E$301&lt;&gt;"Evening"),
        ROW($E$2:$E$301)-ROW($E$2)+1,
        ""
      ),
    1)),
    "Night"
  )
)</f>
        <v>Night</v>
      </c>
    </row>
    <row r="171" spans="1:12" x14ac:dyDescent="0.3">
      <c r="A171" s="25" t="s">
        <v>35</v>
      </c>
      <c r="B171" t="s">
        <v>29</v>
      </c>
      <c r="C171" t="s">
        <v>30</v>
      </c>
      <c r="D171" t="s">
        <v>31</v>
      </c>
      <c r="E171" t="s">
        <v>23</v>
      </c>
      <c r="F171">
        <v>7607</v>
      </c>
      <c r="G171">
        <v>4801</v>
      </c>
      <c r="H171">
        <v>6.5</v>
      </c>
      <c r="I171">
        <v>1.52</v>
      </c>
      <c r="J171">
        <v>4.9800000000000004</v>
      </c>
      <c r="K171" s="25" t="str" cm="1">
        <f t="array" ref="K171">IF(
  ISNUMBER(DATEVALUE(A171)),
  TEXT(DATEVALUE(A171),"yyyy-mm-dd"),
  IFERROR(
    TEXT(INDEX($A$2:$A$301,MATCH(1,
      ($B$2:$B$301=B171) * ($C$2:$C$301=C171) * ($D$2:$D$301=D171) * ($E$2:$E$301=E171) *
      ($F$2:$F$301=F171) * ($G$2:$G$301=G171) * ($H$2:$H$301=H171) * ($I$2:$I$301=I171) *
      ($J$2:$J$301=J171),0)),"yyyy-mm-dd"),
    "Perlu Klarifikasi"
  )
)</f>
        <v>2024-02-17</v>
      </c>
      <c r="L171" t="str" cm="1">
        <f t="array" ref="L171">IF(
  E171&lt;&gt;"Evening",
  E171,
  IFERROR(
    INDEX($E$2:$E$301, SMALL(
      IF(
        ($B$2:$B$301=B171) * ($C$2:$C$301=C171) * ($D$2:$D$301=D171) *
        ($F$2:$F$301=F171) * ($G$2:$G$301=G171) * ($H$2:$H$301=H171) * ($I$2:$I$301=I171) *
        ($J$2:$J$301=J171) * ($K$2:$K$301=K171) * ($E$2:$E$301&lt;&gt;"Evening"),
        ROW($E$2:$E$301)-ROW($E$2)+1,
        ""
      ),
    1)),
    "Night"
  )
)</f>
        <v>Night</v>
      </c>
    </row>
    <row r="172" spans="1:12" x14ac:dyDescent="0.3">
      <c r="A172" s="25" t="s">
        <v>35</v>
      </c>
      <c r="B172" t="s">
        <v>34</v>
      </c>
      <c r="C172" t="s">
        <v>30</v>
      </c>
      <c r="D172" t="s">
        <v>31</v>
      </c>
      <c r="E172" t="s">
        <v>27</v>
      </c>
      <c r="F172">
        <v>1958</v>
      </c>
      <c r="G172">
        <v>2487</v>
      </c>
      <c r="H172">
        <v>6.37</v>
      </c>
      <c r="I172">
        <v>0.68</v>
      </c>
      <c r="J172">
        <v>5.69</v>
      </c>
      <c r="K172" s="25" t="str" cm="1">
        <f t="array" ref="K172">IF(
  ISNUMBER(DATEVALUE(A172)),
  TEXT(DATEVALUE(A172),"yyyy-mm-dd"),
  IFERROR(
    TEXT(INDEX($A$2:$A$301,MATCH(1,
      ($B$2:$B$301=B172) * ($C$2:$C$301=C172) * ($D$2:$D$301=D172) * ($E$2:$E$301=E172) *
      ($F$2:$F$301=F172) * ($G$2:$G$301=G172) * ($H$2:$H$301=H172) * ($I$2:$I$301=I172) *
      ($J$2:$J$301=J172),0)),"yyyy-mm-dd"),
    "Perlu Klarifikasi"
  )
)</f>
        <v>2024-02-17</v>
      </c>
      <c r="L172" t="str" cm="1">
        <f t="array" ref="L172">IF(
  E172&lt;&gt;"Evening",
  E172,
  IFERROR(
    INDEX($E$2:$E$301, SMALL(
      IF(
        ($B$2:$B$301=B172) * ($C$2:$C$301=C172) * ($D$2:$D$301=D172) *
        ($F$2:$F$301=F172) * ($G$2:$G$301=G172) * ($H$2:$H$301=H172) * ($I$2:$I$301=I172) *
        ($J$2:$J$301=J172) * ($K$2:$K$301=K172) * ($E$2:$E$301&lt;&gt;"Evening"),
        ROW($E$2:$E$301)-ROW($E$2)+1,
        ""
      ),
    1)),
    "Night"
  )
)</f>
        <v>Day</v>
      </c>
    </row>
    <row r="173" spans="1:12" x14ac:dyDescent="0.3">
      <c r="A173" s="25" t="s">
        <v>67</v>
      </c>
      <c r="B173" t="s">
        <v>34</v>
      </c>
      <c r="C173" t="s">
        <v>25</v>
      </c>
      <c r="D173" t="s">
        <v>26</v>
      </c>
      <c r="E173" t="s">
        <v>23</v>
      </c>
      <c r="F173">
        <v>7846</v>
      </c>
      <c r="G173">
        <v>3226</v>
      </c>
      <c r="H173">
        <v>9.9</v>
      </c>
      <c r="I173">
        <v>0.26</v>
      </c>
      <c r="J173">
        <v>9.64</v>
      </c>
      <c r="K173" s="25" t="str" cm="1">
        <f t="array" ref="K173">IF(
  ISNUMBER(DATEVALUE(A173)),
  TEXT(DATEVALUE(A173),"yyyy-mm-dd"),
  IFERROR(
    TEXT(INDEX($A$2:$A$301,MATCH(1,
      ($B$2:$B$301=B173) * ($C$2:$C$301=C173) * ($D$2:$D$301=D173) * ($E$2:$E$301=E173) *
      ($F$2:$F$301=F173) * ($G$2:$G$301=G173) * ($H$2:$H$301=H173) * ($I$2:$I$301=I173) *
      ($J$2:$J$301=J173),0)),"yyyy-mm-dd"),
    "Perlu Klarifikasi"
  )
)</f>
        <v>2024-02-18</v>
      </c>
      <c r="L173" t="str" cm="1">
        <f t="array" ref="L173">IF(
  E173&lt;&gt;"Evening",
  E173,
  IFERROR(
    INDEX($E$2:$E$301, SMALL(
      IF(
        ($B$2:$B$301=B173) * ($C$2:$C$301=C173) * ($D$2:$D$301=D173) *
        ($F$2:$F$301=F173) * ($G$2:$G$301=G173) * ($H$2:$H$301=H173) * ($I$2:$I$301=I173) *
        ($J$2:$J$301=J173) * ($K$2:$K$301=K173) * ($E$2:$E$301&lt;&gt;"Evening"),
        ROW($E$2:$E$301)-ROW($E$2)+1,
        ""
      ),
    1)),
    "Night"
  )
)</f>
        <v>Night</v>
      </c>
    </row>
    <row r="174" spans="1:12" x14ac:dyDescent="0.3">
      <c r="A174" s="25" t="s">
        <v>67</v>
      </c>
      <c r="B174" t="s">
        <v>29</v>
      </c>
      <c r="C174" t="s">
        <v>30</v>
      </c>
      <c r="D174" t="s">
        <v>22</v>
      </c>
      <c r="E174" t="s">
        <v>27</v>
      </c>
      <c r="F174">
        <v>653</v>
      </c>
      <c r="G174">
        <v>1706</v>
      </c>
      <c r="H174">
        <v>6.41</v>
      </c>
      <c r="I174">
        <v>1.81</v>
      </c>
      <c r="J174">
        <v>4.5999999999999996</v>
      </c>
      <c r="K174" s="25" t="str" cm="1">
        <f t="array" ref="K174">IF(
  ISNUMBER(DATEVALUE(A174)),
  TEXT(DATEVALUE(A174),"yyyy-mm-dd"),
  IFERROR(
    TEXT(INDEX($A$2:$A$301,MATCH(1,
      ($B$2:$B$301=B174) * ($C$2:$C$301=C174) * ($D$2:$D$301=D174) * ($E$2:$E$301=E174) *
      ($F$2:$F$301=F174) * ($G$2:$G$301=G174) * ($H$2:$H$301=H174) * ($I$2:$I$301=I174) *
      ($J$2:$J$301=J174),0)),"yyyy-mm-dd"),
    "Perlu Klarifikasi"
  )
)</f>
        <v>2024-02-18</v>
      </c>
      <c r="L174" t="str" cm="1">
        <f t="array" ref="L174">IF(
  E174&lt;&gt;"Evening",
  E174,
  IFERROR(
    INDEX($E$2:$E$301, SMALL(
      IF(
        ($B$2:$B$301=B174) * ($C$2:$C$301=C174) * ($D$2:$D$301=D174) *
        ($F$2:$F$301=F174) * ($G$2:$G$301=G174) * ($H$2:$H$301=H174) * ($I$2:$I$301=I174) *
        ($J$2:$J$301=J174) * ($K$2:$K$301=K174) * ($E$2:$E$301&lt;&gt;"Evening"),
        ROW($E$2:$E$301)-ROW($E$2)+1,
        ""
      ),
    1)),
    "Night"
  )
)</f>
        <v>Day</v>
      </c>
    </row>
    <row r="175" spans="1:12" x14ac:dyDescent="0.3">
      <c r="A175" s="25" t="s">
        <v>67</v>
      </c>
      <c r="B175" t="s">
        <v>34</v>
      </c>
      <c r="C175" t="s">
        <v>25</v>
      </c>
      <c r="D175" t="s">
        <v>26</v>
      </c>
      <c r="E175" t="s">
        <v>23</v>
      </c>
      <c r="F175">
        <v>7846</v>
      </c>
      <c r="G175">
        <v>3226</v>
      </c>
      <c r="H175">
        <v>9.9</v>
      </c>
      <c r="I175">
        <v>0.26</v>
      </c>
      <c r="J175">
        <v>9.64</v>
      </c>
      <c r="K175" s="25" t="str" cm="1">
        <f t="array" ref="K175">IF(
  ISNUMBER(DATEVALUE(A175)),
  TEXT(DATEVALUE(A175),"yyyy-mm-dd"),
  IFERROR(
    TEXT(INDEX($A$2:$A$301,MATCH(1,
      ($B$2:$B$301=B175) * ($C$2:$C$301=C175) * ($D$2:$D$301=D175) * ($E$2:$E$301=E175) *
      ($F$2:$F$301=F175) * ($G$2:$G$301=G175) * ($H$2:$H$301=H175) * ($I$2:$I$301=I175) *
      ($J$2:$J$301=J175),0)),"yyyy-mm-dd"),
    "Perlu Klarifikasi"
  )
)</f>
        <v>2024-02-18</v>
      </c>
      <c r="L175" t="str" cm="1">
        <f t="array" ref="L175">IF(
  E175&lt;&gt;"Evening",
  E175,
  IFERROR(
    INDEX($E$2:$E$301, SMALL(
      IF(
        ($B$2:$B$301=B175) * ($C$2:$C$301=C175) * ($D$2:$D$301=D175) *
        ($F$2:$F$301=F175) * ($G$2:$G$301=G175) * ($H$2:$H$301=H175) * ($I$2:$I$301=I175) *
        ($J$2:$J$301=J175) * ($K$2:$K$301=K175) * ($E$2:$E$301&lt;&gt;"Evening"),
        ROW($E$2:$E$301)-ROW($E$2)+1,
        ""
      ),
    1)),
    "Night"
  )
)</f>
        <v>Night</v>
      </c>
    </row>
    <row r="176" spans="1:12" x14ac:dyDescent="0.3">
      <c r="A176" s="25" t="s">
        <v>67</v>
      </c>
      <c r="B176" t="s">
        <v>29</v>
      </c>
      <c r="C176" t="s">
        <v>30</v>
      </c>
      <c r="D176" t="s">
        <v>22</v>
      </c>
      <c r="E176" t="s">
        <v>27</v>
      </c>
      <c r="F176">
        <v>653</v>
      </c>
      <c r="G176">
        <v>1706</v>
      </c>
      <c r="H176">
        <v>6.41</v>
      </c>
      <c r="I176">
        <v>1.81</v>
      </c>
      <c r="J176">
        <v>4.5999999999999996</v>
      </c>
      <c r="K176" s="25" t="str" cm="1">
        <f t="array" ref="K176">IF(
  ISNUMBER(DATEVALUE(A176)),
  TEXT(DATEVALUE(A176),"yyyy-mm-dd"),
  IFERROR(
    TEXT(INDEX($A$2:$A$301,MATCH(1,
      ($B$2:$B$301=B176) * ($C$2:$C$301=C176) * ($D$2:$D$301=D176) * ($E$2:$E$301=E176) *
      ($F$2:$F$301=F176) * ($G$2:$G$301=G176) * ($H$2:$H$301=H176) * ($I$2:$I$301=I176) *
      ($J$2:$J$301=J176),0)),"yyyy-mm-dd"),
    "Perlu Klarifikasi"
  )
)</f>
        <v>2024-02-18</v>
      </c>
      <c r="L176" t="str" cm="1">
        <f t="array" ref="L176">IF(
  E176&lt;&gt;"Evening",
  E176,
  IFERROR(
    INDEX($E$2:$E$301, SMALL(
      IF(
        ($B$2:$B$301=B176) * ($C$2:$C$301=C176) * ($D$2:$D$301=D176) *
        ($F$2:$F$301=F176) * ($G$2:$G$301=G176) * ($H$2:$H$301=H176) * ($I$2:$I$301=I176) *
        ($J$2:$J$301=J176) * ($K$2:$K$301=K176) * ($E$2:$E$301&lt;&gt;"Evening"),
        ROW($E$2:$E$301)-ROW($E$2)+1,
        ""
      ),
    1)),
    "Night"
  )
)</f>
        <v>Day</v>
      </c>
    </row>
    <row r="177" spans="1:12" x14ac:dyDescent="0.3">
      <c r="A177" s="25" t="s">
        <v>67</v>
      </c>
      <c r="B177" t="s">
        <v>34</v>
      </c>
      <c r="C177" t="s">
        <v>25</v>
      </c>
      <c r="D177" t="s">
        <v>26</v>
      </c>
      <c r="E177" t="s">
        <v>23</v>
      </c>
      <c r="F177">
        <v>7846</v>
      </c>
      <c r="G177">
        <v>3226</v>
      </c>
      <c r="H177">
        <v>9.9</v>
      </c>
      <c r="I177">
        <v>0.26</v>
      </c>
      <c r="J177">
        <v>9.64</v>
      </c>
      <c r="K177" s="25" t="str" cm="1">
        <f t="array" ref="K177">IF(
  ISNUMBER(DATEVALUE(A177)),
  TEXT(DATEVALUE(A177),"yyyy-mm-dd"),
  IFERROR(
    TEXT(INDEX($A$2:$A$301,MATCH(1,
      ($B$2:$B$301=B177) * ($C$2:$C$301=C177) * ($D$2:$D$301=D177) * ($E$2:$E$301=E177) *
      ($F$2:$F$301=F177) * ($G$2:$G$301=G177) * ($H$2:$H$301=H177) * ($I$2:$I$301=I177) *
      ($J$2:$J$301=J177),0)),"yyyy-mm-dd"),
    "Perlu Klarifikasi"
  )
)</f>
        <v>2024-02-18</v>
      </c>
      <c r="L177" t="str" cm="1">
        <f t="array" ref="L177">IF(
  E177&lt;&gt;"Evening",
  E177,
  IFERROR(
    INDEX($E$2:$E$301, SMALL(
      IF(
        ($B$2:$B$301=B177) * ($C$2:$C$301=C177) * ($D$2:$D$301=D177) *
        ($F$2:$F$301=F177) * ($G$2:$G$301=G177) * ($H$2:$H$301=H177) * ($I$2:$I$301=I177) *
        ($J$2:$J$301=J177) * ($K$2:$K$301=K177) * ($E$2:$E$301&lt;&gt;"Evening"),
        ROW($E$2:$E$301)-ROW($E$2)+1,
        ""
      ),
    1)),
    "Night"
  )
)</f>
        <v>Night</v>
      </c>
    </row>
    <row r="178" spans="1:12" x14ac:dyDescent="0.3">
      <c r="A178" s="25" t="s">
        <v>67</v>
      </c>
      <c r="B178" t="s">
        <v>20</v>
      </c>
      <c r="C178" t="s">
        <v>30</v>
      </c>
      <c r="D178" t="s">
        <v>22</v>
      </c>
      <c r="E178" t="s">
        <v>23</v>
      </c>
      <c r="F178">
        <v>3640</v>
      </c>
      <c r="G178">
        <v>4576</v>
      </c>
      <c r="H178">
        <v>7.69</v>
      </c>
      <c r="I178">
        <v>1.92</v>
      </c>
      <c r="J178">
        <v>5.77</v>
      </c>
      <c r="K178" s="25" t="str" cm="1">
        <f t="array" ref="K178">IF(
  ISNUMBER(DATEVALUE(A178)),
  TEXT(DATEVALUE(A178),"yyyy-mm-dd"),
  IFERROR(
    TEXT(INDEX($A$2:$A$301,MATCH(1,
      ($B$2:$B$301=B178) * ($C$2:$C$301=C178) * ($D$2:$D$301=D178) * ($E$2:$E$301=E178) *
      ($F$2:$F$301=F178) * ($G$2:$G$301=G178) * ($H$2:$H$301=H178) * ($I$2:$I$301=I178) *
      ($J$2:$J$301=J178),0)),"yyyy-mm-dd"),
    "Perlu Klarifikasi"
  )
)</f>
        <v>2024-02-18</v>
      </c>
      <c r="L178" t="str" cm="1">
        <f t="array" ref="L178">IF(
  E178&lt;&gt;"Evening",
  E178,
  IFERROR(
    INDEX($E$2:$E$301, SMALL(
      IF(
        ($B$2:$B$301=B178) * ($C$2:$C$301=C178) * ($D$2:$D$301=D178) *
        ($F$2:$F$301=F178) * ($G$2:$G$301=G178) * ($H$2:$H$301=H178) * ($I$2:$I$301=I178) *
        ($J$2:$J$301=J178) * ($K$2:$K$301=K178) * ($E$2:$E$301&lt;&gt;"Evening"),
        ROW($E$2:$E$301)-ROW($E$2)+1,
        ""
      ),
    1)),
    "Night"
  )
)</f>
        <v>Night</v>
      </c>
    </row>
    <row r="179" spans="1:12" x14ac:dyDescent="0.3">
      <c r="A179" s="25" t="s">
        <v>67</v>
      </c>
      <c r="B179" t="s">
        <v>34</v>
      </c>
      <c r="C179" t="s">
        <v>25</v>
      </c>
      <c r="D179" t="s">
        <v>31</v>
      </c>
      <c r="E179" t="s">
        <v>27</v>
      </c>
      <c r="F179">
        <v>7713</v>
      </c>
      <c r="G179">
        <v>5371</v>
      </c>
      <c r="H179">
        <v>7.34</v>
      </c>
      <c r="I179">
        <v>0.39</v>
      </c>
      <c r="J179">
        <v>6.95</v>
      </c>
      <c r="K179" s="25" t="str" cm="1">
        <f t="array" ref="K179">IF(
  ISNUMBER(DATEVALUE(A179)),
  TEXT(DATEVALUE(A179),"yyyy-mm-dd"),
  IFERROR(
    TEXT(INDEX($A$2:$A$301,MATCH(1,
      ($B$2:$B$301=B179) * ($C$2:$C$301=C179) * ($D$2:$D$301=D179) * ($E$2:$E$301=E179) *
      ($F$2:$F$301=F179) * ($G$2:$G$301=G179) * ($H$2:$H$301=H179) * ($I$2:$I$301=I179) *
      ($J$2:$J$301=J179),0)),"yyyy-mm-dd"),
    "Perlu Klarifikasi"
  )
)</f>
        <v>2024-02-18</v>
      </c>
      <c r="L179" t="str" cm="1">
        <f t="array" ref="L179">IF(
  E179&lt;&gt;"Evening",
  E179,
  IFERROR(
    INDEX($E$2:$E$301, SMALL(
      IF(
        ($B$2:$B$301=B179) * ($C$2:$C$301=C179) * ($D$2:$D$301=D179) *
        ($F$2:$F$301=F179) * ($G$2:$G$301=G179) * ($H$2:$H$301=H179) * ($I$2:$I$301=I179) *
        ($J$2:$J$301=J179) * ($K$2:$K$301=K179) * ($E$2:$E$301&lt;&gt;"Evening"),
        ROW($E$2:$E$301)-ROW($E$2)+1,
        ""
      ),
    1)),
    "Night"
  )
)</f>
        <v>Day</v>
      </c>
    </row>
    <row r="180" spans="1:12" x14ac:dyDescent="0.3">
      <c r="A180" s="25" t="s">
        <v>94</v>
      </c>
      <c r="B180" t="s">
        <v>34</v>
      </c>
      <c r="C180" t="s">
        <v>30</v>
      </c>
      <c r="D180" t="s">
        <v>31</v>
      </c>
      <c r="E180" t="s">
        <v>23</v>
      </c>
      <c r="F180">
        <v>7669</v>
      </c>
      <c r="G180">
        <v>5723</v>
      </c>
      <c r="H180">
        <v>9.6999999999999993</v>
      </c>
      <c r="I180">
        <v>0.65</v>
      </c>
      <c r="J180">
        <v>9.0500000000000007</v>
      </c>
      <c r="K180" s="25" t="str" cm="1">
        <f t="array" ref="K180">IF(
  ISNUMBER(DATEVALUE(A180)),
  TEXT(DATEVALUE(A180),"yyyy-mm-dd"),
  IFERROR(
    TEXT(INDEX($A$2:$A$301,MATCH(1,
      ($B$2:$B$301=B180) * ($C$2:$C$301=C180) * ($D$2:$D$301=D180) * ($E$2:$E$301=E180) *
      ($F$2:$F$301=F180) * ($G$2:$G$301=G180) * ($H$2:$H$301=H180) * ($I$2:$I$301=I180) *
      ($J$2:$J$301=J180),0)),"yyyy-mm-dd"),
    "Perlu Klarifikasi"
  )
)</f>
        <v>2024-02-19</v>
      </c>
      <c r="L180" t="str" cm="1">
        <f t="array" ref="L180">IF(
  E180&lt;&gt;"Evening",
  E180,
  IFERROR(
    INDEX($E$2:$E$301, SMALL(
      IF(
        ($B$2:$B$301=B180) * ($C$2:$C$301=C180) * ($D$2:$D$301=D180) *
        ($F$2:$F$301=F180) * ($G$2:$G$301=G180) * ($H$2:$H$301=H180) * ($I$2:$I$301=I180) *
        ($J$2:$J$301=J180) * ($K$2:$K$301=K180) * ($E$2:$E$301&lt;&gt;"Evening"),
        ROW($E$2:$E$301)-ROW($E$2)+1,
        ""
      ),
    1)),
    "Night"
  )
)</f>
        <v>Night</v>
      </c>
    </row>
    <row r="181" spans="1:12" x14ac:dyDescent="0.3">
      <c r="A181" s="25" t="s">
        <v>94</v>
      </c>
      <c r="B181" t="s">
        <v>34</v>
      </c>
      <c r="C181" t="s">
        <v>30</v>
      </c>
      <c r="D181" t="s">
        <v>31</v>
      </c>
      <c r="E181" t="s">
        <v>23</v>
      </c>
      <c r="F181">
        <v>7669</v>
      </c>
      <c r="G181">
        <v>5723</v>
      </c>
      <c r="H181">
        <v>9.6999999999999993</v>
      </c>
      <c r="I181">
        <v>0.65</v>
      </c>
      <c r="J181">
        <v>9.0500000000000007</v>
      </c>
      <c r="K181" s="25" t="str" cm="1">
        <f t="array" ref="K181">IF(
  ISNUMBER(DATEVALUE(A181)),
  TEXT(DATEVALUE(A181),"yyyy-mm-dd"),
  IFERROR(
    TEXT(INDEX($A$2:$A$301,MATCH(1,
      ($B$2:$B$301=B181) * ($C$2:$C$301=C181) * ($D$2:$D$301=D181) * ($E$2:$E$301=E181) *
      ($F$2:$F$301=F181) * ($G$2:$G$301=G181) * ($H$2:$H$301=H181) * ($I$2:$I$301=I181) *
      ($J$2:$J$301=J181),0)),"yyyy-mm-dd"),
    "Perlu Klarifikasi"
  )
)</f>
        <v>2024-02-19</v>
      </c>
      <c r="L181" t="str" cm="1">
        <f t="array" ref="L181">IF(
  E181&lt;&gt;"Evening",
  E181,
  IFERROR(
    INDEX($E$2:$E$301, SMALL(
      IF(
        ($B$2:$B$301=B181) * ($C$2:$C$301=C181) * ($D$2:$D$301=D181) *
        ($F$2:$F$301=F181) * ($G$2:$G$301=G181) * ($H$2:$H$301=H181) * ($I$2:$I$301=I181) *
        ($J$2:$J$301=J181) * ($K$2:$K$301=K181) * ($E$2:$E$301&lt;&gt;"Evening"),
        ROW($E$2:$E$301)-ROW($E$2)+1,
        ""
      ),
    1)),
    "Night"
  )
)</f>
        <v>Night</v>
      </c>
    </row>
    <row r="182" spans="1:12" x14ac:dyDescent="0.3">
      <c r="A182" s="25" t="s">
        <v>97</v>
      </c>
      <c r="B182" t="s">
        <v>34</v>
      </c>
      <c r="C182" t="s">
        <v>25</v>
      </c>
      <c r="D182" t="s">
        <v>26</v>
      </c>
      <c r="E182" t="s">
        <v>23</v>
      </c>
      <c r="F182">
        <v>1925</v>
      </c>
      <c r="G182">
        <v>1096</v>
      </c>
      <c r="H182">
        <v>6.2</v>
      </c>
      <c r="I182">
        <v>1.33</v>
      </c>
      <c r="J182">
        <v>4.87</v>
      </c>
      <c r="K182" s="25" t="str" cm="1">
        <f t="array" ref="K182">IF(
  ISNUMBER(DATEVALUE(A182)),
  TEXT(DATEVALUE(A182),"yyyy-mm-dd"),
  IFERROR(
    TEXT(INDEX($A$2:$A$301,MATCH(1,
      ($B$2:$B$301=B182) * ($C$2:$C$301=C182) * ($D$2:$D$301=D182) * ($E$2:$E$301=E182) *
      ($F$2:$F$301=F182) * ($G$2:$G$301=G182) * ($H$2:$H$301=H182) * ($I$2:$I$301=I182) *
      ($J$2:$J$301=J182),0)),"yyyy-mm-dd"),
    "Perlu Klarifikasi"
  )
)</f>
        <v>2024-02-22</v>
      </c>
      <c r="L182" t="str" cm="1">
        <f t="array" ref="L182">IF(
  E182&lt;&gt;"Evening",
  E182,
  IFERROR(
    INDEX($E$2:$E$301, SMALL(
      IF(
        ($B$2:$B$301=B182) * ($C$2:$C$301=C182) * ($D$2:$D$301=D182) *
        ($F$2:$F$301=F182) * ($G$2:$G$301=G182) * ($H$2:$H$301=H182) * ($I$2:$I$301=I182) *
        ($J$2:$J$301=J182) * ($K$2:$K$301=K182) * ($E$2:$E$301&lt;&gt;"Evening"),
        ROW($E$2:$E$301)-ROW($E$2)+1,
        ""
      ),
    1)),
    "Night"
  )
)</f>
        <v>Night</v>
      </c>
    </row>
    <row r="183" spans="1:12" x14ac:dyDescent="0.3">
      <c r="A183" s="25" t="s">
        <v>97</v>
      </c>
      <c r="B183" t="s">
        <v>34</v>
      </c>
      <c r="C183" t="s">
        <v>25</v>
      </c>
      <c r="D183" t="s">
        <v>26</v>
      </c>
      <c r="E183" t="s">
        <v>23</v>
      </c>
      <c r="F183">
        <v>7839</v>
      </c>
      <c r="G183">
        <v>984</v>
      </c>
      <c r="H183">
        <v>7.87</v>
      </c>
      <c r="I183">
        <v>0.41</v>
      </c>
      <c r="J183">
        <v>7.46</v>
      </c>
      <c r="K183" s="25" t="str" cm="1">
        <f t="array" ref="K183">IF(
  ISNUMBER(DATEVALUE(A183)),
  TEXT(DATEVALUE(A183),"yyyy-mm-dd"),
  IFERROR(
    TEXT(INDEX($A$2:$A$301,MATCH(1,
      ($B$2:$B$301=B183) * ($C$2:$C$301=C183) * ($D$2:$D$301=D183) * ($E$2:$E$301=E183) *
      ($F$2:$F$301=F183) * ($G$2:$G$301=G183) * ($H$2:$H$301=H183) * ($I$2:$I$301=I183) *
      ($J$2:$J$301=J183),0)),"yyyy-mm-dd"),
    "Perlu Klarifikasi"
  )
)</f>
        <v>2024-02-22</v>
      </c>
      <c r="L183" t="str" cm="1">
        <f t="array" ref="L183">IF(
  E183&lt;&gt;"Evening",
  E183,
  IFERROR(
    INDEX($E$2:$E$301, SMALL(
      IF(
        ($B$2:$B$301=B183) * ($C$2:$C$301=C183) * ($D$2:$D$301=D183) *
        ($F$2:$F$301=F183) * ($G$2:$G$301=G183) * ($H$2:$H$301=H183) * ($I$2:$I$301=I183) *
        ($J$2:$J$301=J183) * ($K$2:$K$301=K183) * ($E$2:$E$301&lt;&gt;"Evening"),
        ROW($E$2:$E$301)-ROW($E$2)+1,
        ""
      ),
    1)),
    "Night"
  )
)</f>
        <v>Night</v>
      </c>
    </row>
    <row r="184" spans="1:12" x14ac:dyDescent="0.3">
      <c r="A184" s="25" t="s">
        <v>97</v>
      </c>
      <c r="B184" t="s">
        <v>34</v>
      </c>
      <c r="C184" t="s">
        <v>25</v>
      </c>
      <c r="D184" t="s">
        <v>26</v>
      </c>
      <c r="E184" t="s">
        <v>23</v>
      </c>
      <c r="F184">
        <v>1925</v>
      </c>
      <c r="G184">
        <v>1096</v>
      </c>
      <c r="H184">
        <v>6.2</v>
      </c>
      <c r="I184">
        <v>1.33</v>
      </c>
      <c r="J184">
        <v>4.87</v>
      </c>
      <c r="K184" s="25" t="str" cm="1">
        <f t="array" ref="K184">IF(
  ISNUMBER(DATEVALUE(A184)),
  TEXT(DATEVALUE(A184),"yyyy-mm-dd"),
  IFERROR(
    TEXT(INDEX($A$2:$A$301,MATCH(1,
      ($B$2:$B$301=B184) * ($C$2:$C$301=C184) * ($D$2:$D$301=D184) * ($E$2:$E$301=E184) *
      ($F$2:$F$301=F184) * ($G$2:$G$301=G184) * ($H$2:$H$301=H184) * ($I$2:$I$301=I184) *
      ($J$2:$J$301=J184),0)),"yyyy-mm-dd"),
    "Perlu Klarifikasi"
  )
)</f>
        <v>2024-02-22</v>
      </c>
      <c r="L184" t="str" cm="1">
        <f t="array" ref="L184">IF(
  E184&lt;&gt;"Evening",
  E184,
  IFERROR(
    INDEX($E$2:$E$301, SMALL(
      IF(
        ($B$2:$B$301=B184) * ($C$2:$C$301=C184) * ($D$2:$D$301=D184) *
        ($F$2:$F$301=F184) * ($G$2:$G$301=G184) * ($H$2:$H$301=H184) * ($I$2:$I$301=I184) *
        ($J$2:$J$301=J184) * ($K$2:$K$301=K184) * ($E$2:$E$301&lt;&gt;"Evening"),
        ROW($E$2:$E$301)-ROW($E$2)+1,
        ""
      ),
    1)),
    "Night"
  )
)</f>
        <v>Night</v>
      </c>
    </row>
    <row r="185" spans="1:12" x14ac:dyDescent="0.3">
      <c r="A185" s="25" t="s">
        <v>97</v>
      </c>
      <c r="B185" t="s">
        <v>34</v>
      </c>
      <c r="C185" t="s">
        <v>25</v>
      </c>
      <c r="D185" t="s">
        <v>26</v>
      </c>
      <c r="E185" t="s">
        <v>23</v>
      </c>
      <c r="F185">
        <v>7839</v>
      </c>
      <c r="G185">
        <v>984</v>
      </c>
      <c r="H185">
        <v>7.87</v>
      </c>
      <c r="I185">
        <v>0.41</v>
      </c>
      <c r="J185">
        <v>7.46</v>
      </c>
      <c r="K185" s="25" t="str" cm="1">
        <f t="array" ref="K185">IF(
  ISNUMBER(DATEVALUE(A185)),
  TEXT(DATEVALUE(A185),"yyyy-mm-dd"),
  IFERROR(
    TEXT(INDEX($A$2:$A$301,MATCH(1,
      ($B$2:$B$301=B185) * ($C$2:$C$301=C185) * ($D$2:$D$301=D185) * ($E$2:$E$301=E185) *
      ($F$2:$F$301=F185) * ($G$2:$G$301=G185) * ($H$2:$H$301=H185) * ($I$2:$I$301=I185) *
      ($J$2:$J$301=J185),0)),"yyyy-mm-dd"),
    "Perlu Klarifikasi"
  )
)</f>
        <v>2024-02-22</v>
      </c>
      <c r="L185" t="str" cm="1">
        <f t="array" ref="L185">IF(
  E185&lt;&gt;"Evening",
  E185,
  IFERROR(
    INDEX($E$2:$E$301, SMALL(
      IF(
        ($B$2:$B$301=B185) * ($C$2:$C$301=C185) * ($D$2:$D$301=D185) *
        ($F$2:$F$301=F185) * ($G$2:$G$301=G185) * ($H$2:$H$301=H185) * ($I$2:$I$301=I185) *
        ($J$2:$J$301=J185) * ($K$2:$K$301=K185) * ($E$2:$E$301&lt;&gt;"Evening"),
        ROW($E$2:$E$301)-ROW($E$2)+1,
        ""
      ),
    1)),
    "Night"
  )
)</f>
        <v>Night</v>
      </c>
    </row>
    <row r="186" spans="1:12" x14ac:dyDescent="0.3">
      <c r="A186" s="25" t="s">
        <v>97</v>
      </c>
      <c r="B186" t="s">
        <v>34</v>
      </c>
      <c r="C186" t="s">
        <v>30</v>
      </c>
      <c r="D186" t="s">
        <v>26</v>
      </c>
      <c r="E186" t="s">
        <v>27</v>
      </c>
      <c r="F186">
        <v>6878</v>
      </c>
      <c r="G186">
        <v>106</v>
      </c>
      <c r="H186">
        <v>8.32</v>
      </c>
      <c r="I186">
        <v>0.91</v>
      </c>
      <c r="J186">
        <v>7.41</v>
      </c>
      <c r="K186" s="25" t="str" cm="1">
        <f t="array" ref="K186">IF(
  ISNUMBER(DATEVALUE(A186)),
  TEXT(DATEVALUE(A186),"yyyy-mm-dd"),
  IFERROR(
    TEXT(INDEX($A$2:$A$301,MATCH(1,
      ($B$2:$B$301=B186) * ($C$2:$C$301=C186) * ($D$2:$D$301=D186) * ($E$2:$E$301=E186) *
      ($F$2:$F$301=F186) * ($G$2:$G$301=G186) * ($H$2:$H$301=H186) * ($I$2:$I$301=I186) *
      ($J$2:$J$301=J186),0)),"yyyy-mm-dd"),
    "Perlu Klarifikasi"
  )
)</f>
        <v>2024-02-22</v>
      </c>
      <c r="L186" t="str" cm="1">
        <f t="array" ref="L186">IF(
  E186&lt;&gt;"Evening",
  E186,
  IFERROR(
    INDEX($E$2:$E$301, SMALL(
      IF(
        ($B$2:$B$301=B186) * ($C$2:$C$301=C186) * ($D$2:$D$301=D186) *
        ($F$2:$F$301=F186) * ($G$2:$G$301=G186) * ($H$2:$H$301=H186) * ($I$2:$I$301=I186) *
        ($J$2:$J$301=J186) * ($K$2:$K$301=K186) * ($E$2:$E$301&lt;&gt;"Evening"),
        ROW($E$2:$E$301)-ROW($E$2)+1,
        ""
      ),
    1)),
    "Night"
  )
)</f>
        <v>Day</v>
      </c>
    </row>
    <row r="187" spans="1:12" x14ac:dyDescent="0.3">
      <c r="A187" s="25" t="s">
        <v>66</v>
      </c>
      <c r="B187" t="s">
        <v>20</v>
      </c>
      <c r="C187" t="s">
        <v>25</v>
      </c>
      <c r="D187" t="s">
        <v>22</v>
      </c>
      <c r="E187" t="s">
        <v>23</v>
      </c>
      <c r="F187">
        <v>204</v>
      </c>
      <c r="G187">
        <v>4045</v>
      </c>
      <c r="H187">
        <v>6.66</v>
      </c>
      <c r="I187">
        <v>1.31</v>
      </c>
      <c r="J187">
        <v>5.35</v>
      </c>
      <c r="K187" s="25" t="str" cm="1">
        <f t="array" ref="K187">IF(
  ISNUMBER(DATEVALUE(A187)),
  TEXT(DATEVALUE(A187),"yyyy-mm-dd"),
  IFERROR(
    TEXT(INDEX($A$2:$A$301,MATCH(1,
      ($B$2:$B$301=B187) * ($C$2:$C$301=C187) * ($D$2:$D$301=D187) * ($E$2:$E$301=E187) *
      ($F$2:$F$301=F187) * ($G$2:$G$301=G187) * ($H$2:$H$301=H187) * ($I$2:$I$301=I187) *
      ($J$2:$J$301=J187),0)),"yyyy-mm-dd"),
    "Perlu Klarifikasi"
  )
)</f>
        <v>2024-02-23</v>
      </c>
      <c r="L187" t="str" cm="1">
        <f t="array" ref="L187">IF(
  E187&lt;&gt;"Evening",
  E187,
  IFERROR(
    INDEX($E$2:$E$301, SMALL(
      IF(
        ($B$2:$B$301=B187) * ($C$2:$C$301=C187) * ($D$2:$D$301=D187) *
        ($F$2:$F$301=F187) * ($G$2:$G$301=G187) * ($H$2:$H$301=H187) * ($I$2:$I$301=I187) *
        ($J$2:$J$301=J187) * ($K$2:$K$301=K187) * ($E$2:$E$301&lt;&gt;"Evening"),
        ROW($E$2:$E$301)-ROW($E$2)+1,
        ""
      ),
    1)),
    "Night"
  )
)</f>
        <v>Night</v>
      </c>
    </row>
    <row r="188" spans="1:12" x14ac:dyDescent="0.3">
      <c r="A188" s="25" t="s">
        <v>66</v>
      </c>
      <c r="B188" t="s">
        <v>20</v>
      </c>
      <c r="C188" t="s">
        <v>25</v>
      </c>
      <c r="D188" t="s">
        <v>22</v>
      </c>
      <c r="E188" t="s">
        <v>23</v>
      </c>
      <c r="F188">
        <v>204</v>
      </c>
      <c r="G188">
        <v>4045</v>
      </c>
      <c r="H188">
        <v>6.66</v>
      </c>
      <c r="I188">
        <v>1.31</v>
      </c>
      <c r="J188">
        <v>5.35</v>
      </c>
      <c r="K188" s="25" t="str" cm="1">
        <f t="array" ref="K188">IF(
  ISNUMBER(DATEVALUE(A188)),
  TEXT(DATEVALUE(A188),"yyyy-mm-dd"),
  IFERROR(
    TEXT(INDEX($A$2:$A$301,MATCH(1,
      ($B$2:$B$301=B188) * ($C$2:$C$301=C188) * ($D$2:$D$301=D188) * ($E$2:$E$301=E188) *
      ($F$2:$F$301=F188) * ($G$2:$G$301=G188) * ($H$2:$H$301=H188) * ($I$2:$I$301=I188) *
      ($J$2:$J$301=J188),0)),"yyyy-mm-dd"),
    "Perlu Klarifikasi"
  )
)</f>
        <v>2024-02-23</v>
      </c>
      <c r="L188" t="str" cm="1">
        <f t="array" ref="L188">IF(
  E188&lt;&gt;"Evening",
  E188,
  IFERROR(
    INDEX($E$2:$E$301, SMALL(
      IF(
        ($B$2:$B$301=B188) * ($C$2:$C$301=C188) * ($D$2:$D$301=D188) *
        ($F$2:$F$301=F188) * ($G$2:$G$301=G188) * ($H$2:$H$301=H188) * ($I$2:$I$301=I188) *
        ($J$2:$J$301=J188) * ($K$2:$K$301=K188) * ($E$2:$E$301&lt;&gt;"Evening"),
        ROW($E$2:$E$301)-ROW($E$2)+1,
        ""
      ),
    1)),
    "Night"
  )
)</f>
        <v>Night</v>
      </c>
    </row>
    <row r="189" spans="1:12" x14ac:dyDescent="0.3">
      <c r="A189" s="25" t="s">
        <v>76</v>
      </c>
      <c r="B189" t="s">
        <v>29</v>
      </c>
      <c r="C189" t="s">
        <v>30</v>
      </c>
      <c r="D189" t="s">
        <v>31</v>
      </c>
      <c r="E189" t="s">
        <v>27</v>
      </c>
      <c r="F189">
        <v>7549</v>
      </c>
      <c r="G189">
        <v>5053</v>
      </c>
      <c r="H189">
        <v>5.6</v>
      </c>
      <c r="I189">
        <v>0.21</v>
      </c>
      <c r="J189">
        <v>5.39</v>
      </c>
      <c r="K189" s="25" t="str" cm="1">
        <f t="array" ref="K189">IF(
  ISNUMBER(DATEVALUE(A189)),
  TEXT(DATEVALUE(A189),"yyyy-mm-dd"),
  IFERROR(
    TEXT(INDEX($A$2:$A$301,MATCH(1,
      ($B$2:$B$301=B189) * ($C$2:$C$301=C189) * ($D$2:$D$301=D189) * ($E$2:$E$301=E189) *
      ($F$2:$F$301=F189) * ($G$2:$G$301=G189) * ($H$2:$H$301=H189) * ($I$2:$I$301=I189) *
      ($J$2:$J$301=J189),0)),"yyyy-mm-dd"),
    "Perlu Klarifikasi"
  )
)</f>
        <v>2024-02-25</v>
      </c>
      <c r="L189" t="str" cm="1">
        <f t="array" ref="L189">IF(
  E189&lt;&gt;"Evening",
  E189,
  IFERROR(
    INDEX($E$2:$E$301, SMALL(
      IF(
        ($B$2:$B$301=B189) * ($C$2:$C$301=C189) * ($D$2:$D$301=D189) *
        ($F$2:$F$301=F189) * ($G$2:$G$301=G189) * ($H$2:$H$301=H189) * ($I$2:$I$301=I189) *
        ($J$2:$J$301=J189) * ($K$2:$K$301=K189) * ($E$2:$E$301&lt;&gt;"Evening"),
        ROW($E$2:$E$301)-ROW($E$2)+1,
        ""
      ),
    1)),
    "Night"
  )
)</f>
        <v>Day</v>
      </c>
    </row>
    <row r="190" spans="1:12" x14ac:dyDescent="0.3">
      <c r="A190" s="25" t="s">
        <v>76</v>
      </c>
      <c r="B190" t="s">
        <v>29</v>
      </c>
      <c r="C190" t="s">
        <v>30</v>
      </c>
      <c r="D190" t="s">
        <v>31</v>
      </c>
      <c r="E190" t="s">
        <v>27</v>
      </c>
      <c r="F190">
        <v>7549</v>
      </c>
      <c r="G190">
        <v>5053</v>
      </c>
      <c r="H190">
        <v>5.6</v>
      </c>
      <c r="I190">
        <v>0.21</v>
      </c>
      <c r="J190">
        <v>5.39</v>
      </c>
      <c r="K190" s="25" t="str" cm="1">
        <f t="array" ref="K190">IF(
  ISNUMBER(DATEVALUE(A190)),
  TEXT(DATEVALUE(A190),"yyyy-mm-dd"),
  IFERROR(
    TEXT(INDEX($A$2:$A$301,MATCH(1,
      ($B$2:$B$301=B190) * ($C$2:$C$301=C190) * ($D$2:$D$301=D190) * ($E$2:$E$301=E190) *
      ($F$2:$F$301=F190) * ($G$2:$G$301=G190) * ($H$2:$H$301=H190) * ($I$2:$I$301=I190) *
      ($J$2:$J$301=J190),0)),"yyyy-mm-dd"),
    "Perlu Klarifikasi"
  )
)</f>
        <v>2024-02-25</v>
      </c>
      <c r="L190" t="str" cm="1">
        <f t="array" ref="L190">IF(
  E190&lt;&gt;"Evening",
  E190,
  IFERROR(
    INDEX($E$2:$E$301, SMALL(
      IF(
        ($B$2:$B$301=B190) * ($C$2:$C$301=C190) * ($D$2:$D$301=D190) *
        ($F$2:$F$301=F190) * ($G$2:$G$301=G190) * ($H$2:$H$301=H190) * ($I$2:$I$301=I190) *
        ($J$2:$J$301=J190) * ($K$2:$K$301=K190) * ($E$2:$E$301&lt;&gt;"Evening"),
        ROW($E$2:$E$301)-ROW($E$2)+1,
        ""
      ),
    1)),
    "Night"
  )
)</f>
        <v>Day</v>
      </c>
    </row>
    <row r="191" spans="1:12" x14ac:dyDescent="0.3">
      <c r="A191" s="25" t="s">
        <v>76</v>
      </c>
      <c r="B191" t="s">
        <v>29</v>
      </c>
      <c r="C191" t="s">
        <v>30</v>
      </c>
      <c r="D191" t="s">
        <v>31</v>
      </c>
      <c r="E191" t="s">
        <v>27</v>
      </c>
      <c r="F191">
        <v>7549</v>
      </c>
      <c r="G191">
        <v>5053</v>
      </c>
      <c r="H191">
        <v>5.6</v>
      </c>
      <c r="I191">
        <v>0.21</v>
      </c>
      <c r="J191">
        <v>5.39</v>
      </c>
      <c r="K191" s="25" t="str" cm="1">
        <f t="array" ref="K191">IF(
  ISNUMBER(DATEVALUE(A191)),
  TEXT(DATEVALUE(A191),"yyyy-mm-dd"),
  IFERROR(
    TEXT(INDEX($A$2:$A$301,MATCH(1,
      ($B$2:$B$301=B191) * ($C$2:$C$301=C191) * ($D$2:$D$301=D191) * ($E$2:$E$301=E191) *
      ($F$2:$F$301=F191) * ($G$2:$G$301=G191) * ($H$2:$H$301=H191) * ($I$2:$I$301=I191) *
      ($J$2:$J$301=J191),0)),"yyyy-mm-dd"),
    "Perlu Klarifikasi"
  )
)</f>
        <v>2024-02-25</v>
      </c>
      <c r="L191" t="str" cm="1">
        <f t="array" ref="L191">IF(
  E191&lt;&gt;"Evening",
  E191,
  IFERROR(
    INDEX($E$2:$E$301, SMALL(
      IF(
        ($B$2:$B$301=B191) * ($C$2:$C$301=C191) * ($D$2:$D$301=D191) *
        ($F$2:$F$301=F191) * ($G$2:$G$301=G191) * ($H$2:$H$301=H191) * ($I$2:$I$301=I191) *
        ($J$2:$J$301=J191) * ($K$2:$K$301=K191) * ($E$2:$E$301&lt;&gt;"Evening"),
        ROW($E$2:$E$301)-ROW($E$2)+1,
        ""
      ),
    1)),
    "Night"
  )
)</f>
        <v>Day</v>
      </c>
    </row>
    <row r="192" spans="1:12" x14ac:dyDescent="0.3">
      <c r="A192" s="25" t="s">
        <v>76</v>
      </c>
      <c r="B192" t="s">
        <v>34</v>
      </c>
      <c r="C192" t="s">
        <v>25</v>
      </c>
      <c r="D192" t="s">
        <v>22</v>
      </c>
      <c r="E192" t="s">
        <v>23</v>
      </c>
      <c r="F192">
        <v>7647</v>
      </c>
      <c r="G192">
        <v>6080</v>
      </c>
      <c r="H192">
        <v>6.82</v>
      </c>
      <c r="I192">
        <v>0.7</v>
      </c>
      <c r="J192">
        <v>6.12</v>
      </c>
      <c r="K192" s="25" t="str" cm="1">
        <f t="array" ref="K192">IF(
  ISNUMBER(DATEVALUE(A192)),
  TEXT(DATEVALUE(A192),"yyyy-mm-dd"),
  IFERROR(
    TEXT(INDEX($A$2:$A$301,MATCH(1,
      ($B$2:$B$301=B192) * ($C$2:$C$301=C192) * ($D$2:$D$301=D192) * ($E$2:$E$301=E192) *
      ($F$2:$F$301=F192) * ($G$2:$G$301=G192) * ($H$2:$H$301=H192) * ($I$2:$I$301=I192) *
      ($J$2:$J$301=J192),0)),"yyyy-mm-dd"),
    "Perlu Klarifikasi"
  )
)</f>
        <v>2024-02-25</v>
      </c>
      <c r="L192" t="str" cm="1">
        <f t="array" ref="L192">IF(
  E192&lt;&gt;"Evening",
  E192,
  IFERROR(
    INDEX($E$2:$E$301, SMALL(
      IF(
        ($B$2:$B$301=B192) * ($C$2:$C$301=C192) * ($D$2:$D$301=D192) *
        ($F$2:$F$301=F192) * ($G$2:$G$301=G192) * ($H$2:$H$301=H192) * ($I$2:$I$301=I192) *
        ($J$2:$J$301=J192) * ($K$2:$K$301=K192) * ($E$2:$E$301&lt;&gt;"Evening"),
        ROW($E$2:$E$301)-ROW($E$2)+1,
        ""
      ),
    1)),
    "Night"
  )
)</f>
        <v>Night</v>
      </c>
    </row>
    <row r="193" spans="1:12" x14ac:dyDescent="0.3">
      <c r="A193" s="25" t="s">
        <v>47</v>
      </c>
      <c r="B193" t="s">
        <v>29</v>
      </c>
      <c r="C193" t="s">
        <v>30</v>
      </c>
      <c r="D193" t="s">
        <v>22</v>
      </c>
      <c r="E193" t="s">
        <v>23</v>
      </c>
      <c r="F193">
        <v>2109</v>
      </c>
      <c r="G193">
        <v>4478</v>
      </c>
      <c r="H193">
        <v>4.33</v>
      </c>
      <c r="I193">
        <v>1.38</v>
      </c>
      <c r="J193">
        <v>2.95</v>
      </c>
      <c r="K193" s="25" t="str" cm="1">
        <f t="array" ref="K193">IF(
  ISNUMBER(DATEVALUE(A193)),
  TEXT(DATEVALUE(A193),"yyyy-mm-dd"),
  IFERROR(
    TEXT(INDEX($A$2:$A$301,MATCH(1,
      ($B$2:$B$301=B193) * ($C$2:$C$301=C193) * ($D$2:$D$301=D193) * ($E$2:$E$301=E193) *
      ($F$2:$F$301=F193) * ($G$2:$G$301=G193) * ($H$2:$H$301=H193) * ($I$2:$I$301=I193) *
      ($J$2:$J$301=J193),0)),"yyyy-mm-dd"),
    "Perlu Klarifikasi"
  )
)</f>
        <v>2024-02-26</v>
      </c>
      <c r="L193" t="str" cm="1">
        <f t="array" ref="L193">IF(
  E193&lt;&gt;"Evening",
  E193,
  IFERROR(
    INDEX($E$2:$E$301, SMALL(
      IF(
        ($B$2:$B$301=B193) * ($C$2:$C$301=C193) * ($D$2:$D$301=D193) *
        ($F$2:$F$301=F193) * ($G$2:$G$301=G193) * ($H$2:$H$301=H193) * ($I$2:$I$301=I193) *
        ($J$2:$J$301=J193) * ($K$2:$K$301=K193) * ($E$2:$E$301&lt;&gt;"Evening"),
        ROW($E$2:$E$301)-ROW($E$2)+1,
        ""
      ),
    1)),
    "Night"
  )
)</f>
        <v>Night</v>
      </c>
    </row>
    <row r="194" spans="1:12" x14ac:dyDescent="0.3">
      <c r="A194" s="25" t="s">
        <v>47</v>
      </c>
      <c r="B194" t="s">
        <v>29</v>
      </c>
      <c r="C194" t="s">
        <v>30</v>
      </c>
      <c r="D194" t="s">
        <v>22</v>
      </c>
      <c r="E194" t="s">
        <v>23</v>
      </c>
      <c r="F194">
        <v>2109</v>
      </c>
      <c r="G194">
        <v>4478</v>
      </c>
      <c r="H194">
        <v>4.33</v>
      </c>
      <c r="I194">
        <v>1.38</v>
      </c>
      <c r="J194">
        <v>2.95</v>
      </c>
      <c r="K194" s="25" t="str" cm="1">
        <f t="array" ref="K194">IF(
  ISNUMBER(DATEVALUE(A194)),
  TEXT(DATEVALUE(A194),"yyyy-mm-dd"),
  IFERROR(
    TEXT(INDEX($A$2:$A$301,MATCH(1,
      ($B$2:$B$301=B194) * ($C$2:$C$301=C194) * ($D$2:$D$301=D194) * ($E$2:$E$301=E194) *
      ($F$2:$F$301=F194) * ($G$2:$G$301=G194) * ($H$2:$H$301=H194) * ($I$2:$I$301=I194) *
      ($J$2:$J$301=J194),0)),"yyyy-mm-dd"),
    "Perlu Klarifikasi"
  )
)</f>
        <v>2024-02-26</v>
      </c>
      <c r="L194" t="str" cm="1">
        <f t="array" ref="L194">IF(
  E194&lt;&gt;"Evening",
  E194,
  IFERROR(
    INDEX($E$2:$E$301, SMALL(
      IF(
        ($B$2:$B$301=B194) * ($C$2:$C$301=C194) * ($D$2:$D$301=D194) *
        ($F$2:$F$301=F194) * ($G$2:$G$301=G194) * ($H$2:$H$301=H194) * ($I$2:$I$301=I194) *
        ($J$2:$J$301=J194) * ($K$2:$K$301=K194) * ($E$2:$E$301&lt;&gt;"Evening"),
        ROW($E$2:$E$301)-ROW($E$2)+1,
        ""
      ),
    1)),
    "Night"
  )
)</f>
        <v>Night</v>
      </c>
    </row>
    <row r="195" spans="1:12" x14ac:dyDescent="0.3">
      <c r="A195" s="25" t="s">
        <v>47</v>
      </c>
      <c r="B195" t="s">
        <v>29</v>
      </c>
      <c r="C195" t="s">
        <v>30</v>
      </c>
      <c r="D195" t="s">
        <v>22</v>
      </c>
      <c r="E195" t="s">
        <v>23</v>
      </c>
      <c r="F195">
        <v>2109</v>
      </c>
      <c r="G195">
        <v>4478</v>
      </c>
      <c r="H195">
        <v>4.33</v>
      </c>
      <c r="I195">
        <v>1.38</v>
      </c>
      <c r="J195">
        <v>2.95</v>
      </c>
      <c r="K195" s="25" t="str" cm="1">
        <f t="array" ref="K195">IF(
  ISNUMBER(DATEVALUE(A195)),
  TEXT(DATEVALUE(A195),"yyyy-mm-dd"),
  IFERROR(
    TEXT(INDEX($A$2:$A$301,MATCH(1,
      ($B$2:$B$301=B195) * ($C$2:$C$301=C195) * ($D$2:$D$301=D195) * ($E$2:$E$301=E195) *
      ($F$2:$F$301=F195) * ($G$2:$G$301=G195) * ($H$2:$H$301=H195) * ($I$2:$I$301=I195) *
      ($J$2:$J$301=J195),0)),"yyyy-mm-dd"),
    "Perlu Klarifikasi"
  )
)</f>
        <v>2024-02-26</v>
      </c>
      <c r="L195" t="str" cm="1">
        <f t="array" ref="L195">IF(
  E195&lt;&gt;"Evening",
  E195,
  IFERROR(
    INDEX($E$2:$E$301, SMALL(
      IF(
        ($B$2:$B$301=B195) * ($C$2:$C$301=C195) * ($D$2:$D$301=D195) *
        ($F$2:$F$301=F195) * ($G$2:$G$301=G195) * ($H$2:$H$301=H195) * ($I$2:$I$301=I195) *
        ($J$2:$J$301=J195) * ($K$2:$K$301=K195) * ($E$2:$E$301&lt;&gt;"Evening"),
        ROW($E$2:$E$301)-ROW($E$2)+1,
        ""
      ),
    1)),
    "Night"
  )
)</f>
        <v>Night</v>
      </c>
    </row>
    <row r="196" spans="1:12" x14ac:dyDescent="0.3">
      <c r="A196" s="25" t="s">
        <v>33</v>
      </c>
      <c r="B196" t="s">
        <v>34</v>
      </c>
      <c r="C196" t="s">
        <v>25</v>
      </c>
      <c r="D196" t="s">
        <v>22</v>
      </c>
      <c r="E196" t="s">
        <v>23</v>
      </c>
      <c r="F196">
        <v>4650</v>
      </c>
      <c r="G196">
        <v>3990</v>
      </c>
      <c r="H196">
        <v>9.5399999999999991</v>
      </c>
      <c r="I196">
        <v>1.51</v>
      </c>
      <c r="J196">
        <v>8.0299999999999994</v>
      </c>
      <c r="K196" s="25" t="str" cm="1">
        <f t="array" ref="K196">IF(
  ISNUMBER(DATEVALUE(A196)),
  TEXT(DATEVALUE(A196),"yyyy-mm-dd"),
  IFERROR(
    TEXT(INDEX($A$2:$A$301,MATCH(1,
      ($B$2:$B$301=B196) * ($C$2:$C$301=C196) * ($D$2:$D$301=D196) * ($E$2:$E$301=E196) *
      ($F$2:$F$301=F196) * ($G$2:$G$301=G196) * ($H$2:$H$301=H196) * ($I$2:$I$301=I196) *
      ($J$2:$J$301=J196),0)),"yyyy-mm-dd"),
    "Perlu Klarifikasi"
  )
)</f>
        <v>2024-02-27</v>
      </c>
      <c r="L196" t="str" cm="1">
        <f t="array" ref="L196">IF(
  E196&lt;&gt;"Evening",
  E196,
  IFERROR(
    INDEX($E$2:$E$301, SMALL(
      IF(
        ($B$2:$B$301=B196) * ($C$2:$C$301=C196) * ($D$2:$D$301=D196) *
        ($F$2:$F$301=F196) * ($G$2:$G$301=G196) * ($H$2:$H$301=H196) * ($I$2:$I$301=I196) *
        ($J$2:$J$301=J196) * ($K$2:$K$301=K196) * ($E$2:$E$301&lt;&gt;"Evening"),
        ROW($E$2:$E$301)-ROW($E$2)+1,
        ""
      ),
    1)),
    "Night"
  )
)</f>
        <v>Night</v>
      </c>
    </row>
    <row r="197" spans="1:12" x14ac:dyDescent="0.3">
      <c r="A197" s="25" t="s">
        <v>33</v>
      </c>
      <c r="B197" t="s">
        <v>29</v>
      </c>
      <c r="C197" t="s">
        <v>21</v>
      </c>
      <c r="D197" t="s">
        <v>26</v>
      </c>
      <c r="E197" t="s">
        <v>27</v>
      </c>
      <c r="F197">
        <v>6717</v>
      </c>
      <c r="G197">
        <v>1572</v>
      </c>
      <c r="H197">
        <v>6.25</v>
      </c>
      <c r="I197">
        <v>1.89</v>
      </c>
      <c r="J197">
        <v>4.3600000000000003</v>
      </c>
      <c r="K197" s="25" t="str" cm="1">
        <f t="array" ref="K197">IF(
  ISNUMBER(DATEVALUE(A197)),
  TEXT(DATEVALUE(A197),"yyyy-mm-dd"),
  IFERROR(
    TEXT(INDEX($A$2:$A$301,MATCH(1,
      ($B$2:$B$301=B197) * ($C$2:$C$301=C197) * ($D$2:$D$301=D197) * ($E$2:$E$301=E197) *
      ($F$2:$F$301=F197) * ($G$2:$G$301=G197) * ($H$2:$H$301=H197) * ($I$2:$I$301=I197) *
      ($J$2:$J$301=J197),0)),"yyyy-mm-dd"),
    "Perlu Klarifikasi"
  )
)</f>
        <v>2024-02-27</v>
      </c>
      <c r="L197" t="str" cm="1">
        <f t="array" ref="L197">IF(
  E197&lt;&gt;"Evening",
  E197,
  IFERROR(
    INDEX($E$2:$E$301, SMALL(
      IF(
        ($B$2:$B$301=B197) * ($C$2:$C$301=C197) * ($D$2:$D$301=D197) *
        ($F$2:$F$301=F197) * ($G$2:$G$301=G197) * ($H$2:$H$301=H197) * ($I$2:$I$301=I197) *
        ($J$2:$J$301=J197) * ($K$2:$K$301=K197) * ($E$2:$E$301&lt;&gt;"Evening"),
        ROW($E$2:$E$301)-ROW($E$2)+1,
        ""
      ),
    1)),
    "Night"
  )
)</f>
        <v>Day</v>
      </c>
    </row>
    <row r="198" spans="1:12" x14ac:dyDescent="0.3">
      <c r="A198" s="25" t="s">
        <v>33</v>
      </c>
      <c r="B198" t="s">
        <v>29</v>
      </c>
      <c r="C198" t="s">
        <v>21</v>
      </c>
      <c r="D198" t="s">
        <v>26</v>
      </c>
      <c r="E198" t="s">
        <v>27</v>
      </c>
      <c r="F198">
        <v>6717</v>
      </c>
      <c r="G198">
        <v>1572</v>
      </c>
      <c r="H198">
        <v>6.25</v>
      </c>
      <c r="I198">
        <v>1.89</v>
      </c>
      <c r="J198">
        <v>4.3600000000000003</v>
      </c>
      <c r="K198" s="25" t="str" cm="1">
        <f t="array" ref="K198">IF(
  ISNUMBER(DATEVALUE(A198)),
  TEXT(DATEVALUE(A198),"yyyy-mm-dd"),
  IFERROR(
    TEXT(INDEX($A$2:$A$301,MATCH(1,
      ($B$2:$B$301=B198) * ($C$2:$C$301=C198) * ($D$2:$D$301=D198) * ($E$2:$E$301=E198) *
      ($F$2:$F$301=F198) * ($G$2:$G$301=G198) * ($H$2:$H$301=H198) * ($I$2:$I$301=I198) *
      ($J$2:$J$301=J198),0)),"yyyy-mm-dd"),
    "Perlu Klarifikasi"
  )
)</f>
        <v>2024-02-27</v>
      </c>
      <c r="L198" t="str" cm="1">
        <f t="array" ref="L198">IF(
  E198&lt;&gt;"Evening",
  E198,
  IFERROR(
    INDEX($E$2:$E$301, SMALL(
      IF(
        ($B$2:$B$301=B198) * ($C$2:$C$301=C198) * ($D$2:$D$301=D198) *
        ($F$2:$F$301=F198) * ($G$2:$G$301=G198) * ($H$2:$H$301=H198) * ($I$2:$I$301=I198) *
        ($J$2:$J$301=J198) * ($K$2:$K$301=K198) * ($E$2:$E$301&lt;&gt;"Evening"),
        ROW($E$2:$E$301)-ROW($E$2)+1,
        ""
      ),
    1)),
    "Night"
  )
)</f>
        <v>Day</v>
      </c>
    </row>
    <row r="199" spans="1:12" x14ac:dyDescent="0.3">
      <c r="A199" s="25" t="s">
        <v>33</v>
      </c>
      <c r="B199" t="s">
        <v>29</v>
      </c>
      <c r="C199" t="s">
        <v>21</v>
      </c>
      <c r="D199" t="s">
        <v>26</v>
      </c>
      <c r="E199" t="s">
        <v>27</v>
      </c>
      <c r="F199">
        <v>6717</v>
      </c>
      <c r="G199">
        <v>1572</v>
      </c>
      <c r="H199">
        <v>6.25</v>
      </c>
      <c r="I199">
        <v>1.89</v>
      </c>
      <c r="J199">
        <v>4.3600000000000003</v>
      </c>
      <c r="K199" s="25" t="str" cm="1">
        <f t="array" ref="K199">IF(
  ISNUMBER(DATEVALUE(A199)),
  TEXT(DATEVALUE(A199),"yyyy-mm-dd"),
  IFERROR(
    TEXT(INDEX($A$2:$A$301,MATCH(1,
      ($B$2:$B$301=B199) * ($C$2:$C$301=C199) * ($D$2:$D$301=D199) * ($E$2:$E$301=E199) *
      ($F$2:$F$301=F199) * ($G$2:$G$301=G199) * ($H$2:$H$301=H199) * ($I$2:$I$301=I199) *
      ($J$2:$J$301=J199),0)),"yyyy-mm-dd"),
    "Perlu Klarifikasi"
  )
)</f>
        <v>2024-02-27</v>
      </c>
      <c r="L199" t="str" cm="1">
        <f t="array" ref="L199">IF(
  E199&lt;&gt;"Evening",
  E199,
  IFERROR(
    INDEX($E$2:$E$301, SMALL(
      IF(
        ($B$2:$B$301=B199) * ($C$2:$C$301=C199) * ($D$2:$D$301=D199) *
        ($F$2:$F$301=F199) * ($G$2:$G$301=G199) * ($H$2:$H$301=H199) * ($I$2:$I$301=I199) *
        ($J$2:$J$301=J199) * ($K$2:$K$301=K199) * ($E$2:$E$301&lt;&gt;"Evening"),
        ROW($E$2:$E$301)-ROW($E$2)+1,
        ""
      ),
    1)),
    "Night"
  )
)</f>
        <v>Day</v>
      </c>
    </row>
    <row r="200" spans="1:12" x14ac:dyDescent="0.3">
      <c r="A200" s="25" t="s">
        <v>33</v>
      </c>
      <c r="B200" t="s">
        <v>34</v>
      </c>
      <c r="C200" t="s">
        <v>25</v>
      </c>
      <c r="D200" t="s">
        <v>22</v>
      </c>
      <c r="E200" t="s">
        <v>23</v>
      </c>
      <c r="F200">
        <v>4650</v>
      </c>
      <c r="G200">
        <v>3990</v>
      </c>
      <c r="H200">
        <v>9.5399999999999991</v>
      </c>
      <c r="I200" s="22">
        <f>I201</f>
        <v>1.51</v>
      </c>
      <c r="J200">
        <v>8.0299999999999994</v>
      </c>
      <c r="K200" s="25" t="str" cm="1">
        <f t="array" ref="K200">IF(
  ISNUMBER(DATEVALUE(A200)),
  TEXT(DATEVALUE(A200),"yyyy-mm-dd"),
  IFERROR(
    TEXT(INDEX($A$2:$A$301,MATCH(1,
      ($B$2:$B$301=B200) * ($C$2:$C$301=C200) * ($D$2:$D$301=D200) * ($E$2:$E$301=E200) *
      ($F$2:$F$301=F200) * ($G$2:$G$301=G200) * ($H$2:$H$301=H200) * ($I$2:$I$301=I200) *
      ($J$2:$J$301=J200),0)),"yyyy-mm-dd"),
    "Perlu Klarifikasi"
  )
)</f>
        <v>2024-02-27</v>
      </c>
      <c r="L200" t="str" cm="1">
        <f t="array" ref="L200">IF(
  E200&lt;&gt;"Evening",
  E200,
  IFERROR(
    INDEX($E$2:$E$301, SMALL(
      IF(
        ($B$2:$B$301=B200) * ($C$2:$C$301=C200) * ($D$2:$D$301=D200) *
        ($F$2:$F$301=F200) * ($G$2:$G$301=G200) * ($H$2:$H$301=H200) * ($I$2:$I$301=I200) *
        ($J$2:$J$301=J200) * ($K$2:$K$301=K200) * ($E$2:$E$301&lt;&gt;"Evening"),
        ROW($E$2:$E$301)-ROW($E$2)+1,
        ""
      ),
    1)),
    "Night"
  )
)</f>
        <v>Night</v>
      </c>
    </row>
    <row r="201" spans="1:12" x14ac:dyDescent="0.3">
      <c r="A201" s="25" t="s">
        <v>33</v>
      </c>
      <c r="B201" t="s">
        <v>34</v>
      </c>
      <c r="C201" t="s">
        <v>25</v>
      </c>
      <c r="D201" t="s">
        <v>22</v>
      </c>
      <c r="E201" t="s">
        <v>23</v>
      </c>
      <c r="F201">
        <v>4650</v>
      </c>
      <c r="G201">
        <v>3990</v>
      </c>
      <c r="H201">
        <v>9.5399999999999991</v>
      </c>
      <c r="I201">
        <v>1.51</v>
      </c>
      <c r="J201">
        <v>8.0299999999999994</v>
      </c>
      <c r="K201" s="25" t="str" cm="1">
        <f t="array" ref="K201">IF(
  ISNUMBER(DATEVALUE(A201)),
  TEXT(DATEVALUE(A201),"yyyy-mm-dd"),
  IFERROR(
    TEXT(INDEX($A$2:$A$301,MATCH(1,
      ($B$2:$B$301=B201) * ($C$2:$C$301=C201) * ($D$2:$D$301=D201) * ($E$2:$E$301=E201) *
      ($F$2:$F$301=F201) * ($G$2:$G$301=G201) * ($H$2:$H$301=H201) * ($I$2:$I$301=I201) *
      ($J$2:$J$301=J201),0)),"yyyy-mm-dd"),
    "Perlu Klarifikasi"
  )
)</f>
        <v>2024-02-27</v>
      </c>
      <c r="L201" t="str" cm="1">
        <f t="array" ref="L201">IF(
  E201&lt;&gt;"Evening",
  E201,
  IFERROR(
    INDEX($E$2:$E$301, SMALL(
      IF(
        ($B$2:$B$301=B201) * ($C$2:$C$301=C201) * ($D$2:$D$301=D201) *
        ($F$2:$F$301=F201) * ($G$2:$G$301=G201) * ($H$2:$H$301=H201) * ($I$2:$I$301=I201) *
        ($J$2:$J$301=J201) * ($K$2:$K$301=K201) * ($E$2:$E$301&lt;&gt;"Evening"),
        ROW($E$2:$E$301)-ROW($E$2)+1,
        ""
      ),
    1)),
    "Night"
  )
)</f>
        <v>Night</v>
      </c>
    </row>
    <row r="202" spans="1:12" x14ac:dyDescent="0.3">
      <c r="A202" s="26" t="s">
        <v>52</v>
      </c>
      <c r="B202" t="s">
        <v>29</v>
      </c>
      <c r="C202" t="s">
        <v>21</v>
      </c>
      <c r="D202" t="s">
        <v>26</v>
      </c>
      <c r="E202" t="s">
        <v>27</v>
      </c>
      <c r="F202">
        <v>6717</v>
      </c>
      <c r="G202">
        <v>1572</v>
      </c>
      <c r="H202">
        <v>6.25</v>
      </c>
      <c r="I202">
        <v>1.89</v>
      </c>
      <c r="J202">
        <v>4.3600000000000003</v>
      </c>
      <c r="K202" s="25" t="str" cm="1">
        <f t="array" ref="K202">IF(
  ISNUMBER(DATEVALUE(A202)),
  TEXT(DATEVALUE(A202),"yyyy-mm-dd"),
  IFERROR(
    TEXT(INDEX($A$2:$A$301,MATCH(1,
      ($B$2:$B$301=B202) * ($C$2:$C$301=C202) * ($D$2:$D$301=D202) * ($E$2:$E$301=E202) *
      ($F$2:$F$301=F202) * ($G$2:$G$301=G202) * ($H$2:$H$301=H202) * ($I$2:$I$301=I202) *
      ($J$2:$J$301=J202),0)),"yyyy-mm-dd"),
    "Perlu Klarifikasi"
  )
)</f>
        <v>2024-02-27</v>
      </c>
      <c r="L202" t="str" cm="1">
        <f t="array" ref="L202">IF(
  E202&lt;&gt;"Evening",
  E202,
  IFERROR(
    INDEX($E$2:$E$301, SMALL(
      IF(
        ($B$2:$B$301=B202) * ($C$2:$C$301=C202) * ($D$2:$D$301=D202) *
        ($F$2:$F$301=F202) * ($G$2:$G$301=G202) * ($H$2:$H$301=H202) * ($I$2:$I$301=I202) *
        ($J$2:$J$301=J202) * ($K$2:$K$301=K202) * ($E$2:$E$301&lt;&gt;"Evening"),
        ROW($E$2:$E$301)-ROW($E$2)+1,
        ""
      ),
    1)),
    "Night"
  )
)</f>
        <v>Day</v>
      </c>
    </row>
    <row r="203" spans="1:12" x14ac:dyDescent="0.3">
      <c r="A203" s="25" t="s">
        <v>33</v>
      </c>
      <c r="B203" t="s">
        <v>29</v>
      </c>
      <c r="C203" t="s">
        <v>25</v>
      </c>
      <c r="D203" t="s">
        <v>26</v>
      </c>
      <c r="E203" t="s">
        <v>23</v>
      </c>
      <c r="F203">
        <v>2663</v>
      </c>
      <c r="G203">
        <v>5520</v>
      </c>
      <c r="H203">
        <v>5.88</v>
      </c>
      <c r="I203">
        <v>0.89</v>
      </c>
      <c r="J203">
        <v>4.99</v>
      </c>
      <c r="K203" s="25" t="str" cm="1">
        <f t="array" ref="K203">IF(
  ISNUMBER(DATEVALUE(A203)),
  TEXT(DATEVALUE(A203),"yyyy-mm-dd"),
  IFERROR(
    TEXT(INDEX($A$2:$A$301,MATCH(1,
      ($B$2:$B$301=B203) * ($C$2:$C$301=C203) * ($D$2:$D$301=D203) * ($E$2:$E$301=E203) *
      ($F$2:$F$301=F203) * ($G$2:$G$301=G203) * ($H$2:$H$301=H203) * ($I$2:$I$301=I203) *
      ($J$2:$J$301=J203),0)),"yyyy-mm-dd"),
    "Perlu Klarifikasi"
  )
)</f>
        <v>2024-02-27</v>
      </c>
      <c r="L203" t="str" cm="1">
        <f t="array" ref="L203">IF(
  E203&lt;&gt;"Evening",
  E203,
  IFERROR(
    INDEX($E$2:$E$301, SMALL(
      IF(
        ($B$2:$B$301=B203) * ($C$2:$C$301=C203) * ($D$2:$D$301=D203) *
        ($F$2:$F$301=F203) * ($G$2:$G$301=G203) * ($H$2:$H$301=H203) * ($I$2:$I$301=I203) *
        ($J$2:$J$301=J203) * ($K$2:$K$301=K203) * ($E$2:$E$301&lt;&gt;"Evening"),
        ROW($E$2:$E$301)-ROW($E$2)+1,
        ""
      ),
    1)),
    "Night"
  )
)</f>
        <v>Night</v>
      </c>
    </row>
    <row r="204" spans="1:12" x14ac:dyDescent="0.3">
      <c r="A204" s="25" t="s">
        <v>61</v>
      </c>
      <c r="B204" t="s">
        <v>34</v>
      </c>
      <c r="C204" t="s">
        <v>30</v>
      </c>
      <c r="D204" t="s">
        <v>22</v>
      </c>
      <c r="E204" t="s">
        <v>27</v>
      </c>
      <c r="F204">
        <v>7568</v>
      </c>
      <c r="G204">
        <v>4206</v>
      </c>
      <c r="H204">
        <v>8.2100000000000009</v>
      </c>
      <c r="I204">
        <v>0.84</v>
      </c>
      <c r="J204">
        <v>7.37</v>
      </c>
      <c r="K204" s="25" t="str" cm="1">
        <f t="array" ref="K204">IF(
  ISNUMBER(DATEVALUE(A204)),
  TEXT(DATEVALUE(A204),"yyyy-mm-dd"),
  IFERROR(
    TEXT(INDEX($A$2:$A$301,MATCH(1,
      ($B$2:$B$301=B204) * ($C$2:$C$301=C204) * ($D$2:$D$301=D204) * ($E$2:$E$301=E204) *
      ($F$2:$F$301=F204) * ($G$2:$G$301=G204) * ($H$2:$H$301=H204) * ($I$2:$I$301=I204) *
      ($J$2:$J$301=J204),0)),"yyyy-mm-dd"),
    "Perlu Klarifikasi"
  )
)</f>
        <v>2024-02-28</v>
      </c>
      <c r="L204" t="str" cm="1">
        <f t="array" ref="L204">IF(
  E204&lt;&gt;"Evening",
  E204,
  IFERROR(
    INDEX($E$2:$E$301, SMALL(
      IF(
        ($B$2:$B$301=B204) * ($C$2:$C$301=C204) * ($D$2:$D$301=D204) *
        ($F$2:$F$301=F204) * ($G$2:$G$301=G204) * ($H$2:$H$301=H204) * ($I$2:$I$301=I204) *
        ($J$2:$J$301=J204) * ($K$2:$K$301=K204) * ($E$2:$E$301&lt;&gt;"Evening"),
        ROW($E$2:$E$301)-ROW($E$2)+1,
        ""
      ),
    1)),
    "Night"
  )
)</f>
        <v>Day</v>
      </c>
    </row>
    <row r="205" spans="1:12" x14ac:dyDescent="0.3">
      <c r="A205" s="26"/>
      <c r="B205" t="s">
        <v>34</v>
      </c>
      <c r="C205" t="s">
        <v>30</v>
      </c>
      <c r="D205" t="s">
        <v>22</v>
      </c>
      <c r="E205" t="s">
        <v>27</v>
      </c>
      <c r="F205">
        <v>7568</v>
      </c>
      <c r="G205">
        <v>4206</v>
      </c>
      <c r="H205">
        <v>8.2100000000000009</v>
      </c>
      <c r="I205">
        <v>0.84</v>
      </c>
      <c r="J205">
        <v>7.37</v>
      </c>
      <c r="K205" s="25" t="str" cm="1">
        <f t="array" ref="K205">IF(
  ISNUMBER(DATEVALUE(A205)),
  TEXT(DATEVALUE(A205),"yyyy-mm-dd"),
  IFERROR(
    TEXT(INDEX($A$2:$A$301,MATCH(1,
      ($B$2:$B$301=B205) * ($C$2:$C$301=C205) * ($D$2:$D$301=D205) * ($E$2:$E$301=E205) *
      ($F$2:$F$301=F205) * ($G$2:$G$301=G205) * ($H$2:$H$301=H205) * ($I$2:$I$301=I205) *
      ($J$2:$J$301=J205),0)),"yyyy-mm-dd"),
    "Perlu Klarifikasi"
  )
)</f>
        <v>2024-02-28</v>
      </c>
      <c r="L205" t="str" cm="1">
        <f t="array" ref="L205">IF(
  E205&lt;&gt;"Evening",
  E205,
  IFERROR(
    INDEX($E$2:$E$301, SMALL(
      IF(
        ($B$2:$B$301=B205) * ($C$2:$C$301=C205) * ($D$2:$D$301=D205) *
        ($F$2:$F$301=F205) * ($G$2:$G$301=G205) * ($H$2:$H$301=H205) * ($I$2:$I$301=I205) *
        ($J$2:$J$301=J205) * ($K$2:$K$301=K205) * ($E$2:$E$301&lt;&gt;"Evening"),
        ROW($E$2:$E$301)-ROW($E$2)+1,
        ""
      ),
    1)),
    "Night"
  )
)</f>
        <v>Day</v>
      </c>
    </row>
    <row r="206" spans="1:12" x14ac:dyDescent="0.3">
      <c r="A206" s="25" t="s">
        <v>61</v>
      </c>
      <c r="B206" t="s">
        <v>34</v>
      </c>
      <c r="C206" t="s">
        <v>30</v>
      </c>
      <c r="D206" t="s">
        <v>22</v>
      </c>
      <c r="E206" t="s">
        <v>27</v>
      </c>
      <c r="F206">
        <v>7568</v>
      </c>
      <c r="G206">
        <v>4206</v>
      </c>
      <c r="H206">
        <v>8.2100000000000009</v>
      </c>
      <c r="I206">
        <v>0.84</v>
      </c>
      <c r="J206">
        <v>7.37</v>
      </c>
      <c r="K206" s="25" t="str" cm="1">
        <f t="array" ref="K206">IF(
  ISNUMBER(DATEVALUE(A206)),
  TEXT(DATEVALUE(A206),"yyyy-mm-dd"),
  IFERROR(
    TEXT(INDEX($A$2:$A$301,MATCH(1,
      ($B$2:$B$301=B206) * ($C$2:$C$301=C206) * ($D$2:$D$301=D206) * ($E$2:$E$301=E206) *
      ($F$2:$F$301=F206) * ($G$2:$G$301=G206) * ($H$2:$H$301=H206) * ($I$2:$I$301=I206) *
      ($J$2:$J$301=J206),0)),"yyyy-mm-dd"),
    "Perlu Klarifikasi"
  )
)</f>
        <v>2024-02-28</v>
      </c>
      <c r="L206" t="str" cm="1">
        <f t="array" ref="L206">IF(
  E206&lt;&gt;"Evening",
  E206,
  IFERROR(
    INDEX($E$2:$E$301, SMALL(
      IF(
        ($B$2:$B$301=B206) * ($C$2:$C$301=C206) * ($D$2:$D$301=D206) *
        ($F$2:$F$301=F206) * ($G$2:$G$301=G206) * ($H$2:$H$301=H206) * ($I$2:$I$301=I206) *
        ($J$2:$J$301=J206) * ($K$2:$K$301=K206) * ($E$2:$E$301&lt;&gt;"Evening"),
        ROW($E$2:$E$301)-ROW($E$2)+1,
        ""
      ),
    1)),
    "Night"
  )
)</f>
        <v>Day</v>
      </c>
    </row>
    <row r="207" spans="1:12" x14ac:dyDescent="0.3">
      <c r="A207" s="25" t="s">
        <v>61</v>
      </c>
      <c r="B207" t="s">
        <v>34</v>
      </c>
      <c r="C207" t="s">
        <v>30</v>
      </c>
      <c r="D207" t="s">
        <v>22</v>
      </c>
      <c r="E207" t="s">
        <v>27</v>
      </c>
      <c r="F207">
        <v>7568</v>
      </c>
      <c r="G207">
        <v>4206</v>
      </c>
      <c r="H207">
        <v>8.2100000000000009</v>
      </c>
      <c r="I207">
        <v>0.84</v>
      </c>
      <c r="J207">
        <v>7.37</v>
      </c>
      <c r="K207" s="25" t="str" cm="1">
        <f t="array" ref="K207">IF(
  ISNUMBER(DATEVALUE(A207)),
  TEXT(DATEVALUE(A207),"yyyy-mm-dd"),
  IFERROR(
    TEXT(INDEX($A$2:$A$301,MATCH(1,
      ($B$2:$B$301=B207) * ($C$2:$C$301=C207) * ($D$2:$D$301=D207) * ($E$2:$E$301=E207) *
      ($F$2:$F$301=F207) * ($G$2:$G$301=G207) * ($H$2:$H$301=H207) * ($I$2:$I$301=I207) *
      ($J$2:$J$301=J207),0)),"yyyy-mm-dd"),
    "Perlu Klarifikasi"
  )
)</f>
        <v>2024-02-28</v>
      </c>
      <c r="L207" t="str" cm="1">
        <f t="array" ref="L207">IF(
  E207&lt;&gt;"Evening",
  E207,
  IFERROR(
    INDEX($E$2:$E$301, SMALL(
      IF(
        ($B$2:$B$301=B207) * ($C$2:$C$301=C207) * ($D$2:$D$301=D207) *
        ($F$2:$F$301=F207) * ($G$2:$G$301=G207) * ($H$2:$H$301=H207) * ($I$2:$I$301=I207) *
        ($J$2:$J$301=J207) * ($K$2:$K$301=K207) * ($E$2:$E$301&lt;&gt;"Evening"),
        ROW($E$2:$E$301)-ROW($E$2)+1,
        ""
      ),
    1)),
    "Night"
  )
)</f>
        <v>Day</v>
      </c>
    </row>
    <row r="208" spans="1:12" x14ac:dyDescent="0.3">
      <c r="A208" s="25" t="s">
        <v>61</v>
      </c>
      <c r="B208" t="s">
        <v>34</v>
      </c>
      <c r="C208" t="s">
        <v>21</v>
      </c>
      <c r="D208" t="s">
        <v>26</v>
      </c>
      <c r="E208" t="s">
        <v>23</v>
      </c>
      <c r="F208">
        <v>5430</v>
      </c>
      <c r="G208">
        <v>178</v>
      </c>
      <c r="H208">
        <v>6.24</v>
      </c>
      <c r="I208">
        <v>1.47</v>
      </c>
      <c r="J208">
        <v>4.7699999999999996</v>
      </c>
      <c r="K208" s="25" t="str" cm="1">
        <f t="array" ref="K208">IF(
  ISNUMBER(DATEVALUE(A208)),
  TEXT(DATEVALUE(A208),"yyyy-mm-dd"),
  IFERROR(
    TEXT(INDEX($A$2:$A$301,MATCH(1,
      ($B$2:$B$301=B208) * ($C$2:$C$301=C208) * ($D$2:$D$301=D208) * ($E$2:$E$301=E208) *
      ($F$2:$F$301=F208) * ($G$2:$G$301=G208) * ($H$2:$H$301=H208) * ($I$2:$I$301=I208) *
      ($J$2:$J$301=J208),0)),"yyyy-mm-dd"),
    "Perlu Klarifikasi"
  )
)</f>
        <v>2024-02-28</v>
      </c>
      <c r="L208" t="str" cm="1">
        <f t="array" ref="L208">IF(
  E208&lt;&gt;"Evening",
  E208,
  IFERROR(
    INDEX($E$2:$E$301, SMALL(
      IF(
        ($B$2:$B$301=B208) * ($C$2:$C$301=C208) * ($D$2:$D$301=D208) *
        ($F$2:$F$301=F208) * ($G$2:$G$301=G208) * ($H$2:$H$301=H208) * ($I$2:$I$301=I208) *
        ($J$2:$J$301=J208) * ($K$2:$K$301=K208) * ($E$2:$E$301&lt;&gt;"Evening"),
        ROW($E$2:$E$301)-ROW($E$2)+1,
        ""
      ),
    1)),
    "Night"
  )
)</f>
        <v>Night</v>
      </c>
    </row>
    <row r="209" spans="1:12" x14ac:dyDescent="0.3">
      <c r="A209" s="25" t="s">
        <v>71</v>
      </c>
      <c r="B209" t="s">
        <v>34</v>
      </c>
      <c r="C209" t="s">
        <v>21</v>
      </c>
      <c r="D209" t="s">
        <v>26</v>
      </c>
      <c r="E209" t="s">
        <v>23</v>
      </c>
      <c r="F209">
        <v>680</v>
      </c>
      <c r="G209">
        <v>2580</v>
      </c>
      <c r="H209">
        <v>4.68</v>
      </c>
      <c r="I209">
        <v>1.22</v>
      </c>
      <c r="J209">
        <v>3.46</v>
      </c>
      <c r="K209" s="25" t="str" cm="1">
        <f t="array" ref="K209">IF(
  ISNUMBER(DATEVALUE(A209)),
  TEXT(DATEVALUE(A209),"yyyy-mm-dd"),
  IFERROR(
    TEXT(INDEX($A$2:$A$301,MATCH(1,
      ($B$2:$B$301=B209) * ($C$2:$C$301=C209) * ($D$2:$D$301=D209) * ($E$2:$E$301=E209) *
      ($F$2:$F$301=F209) * ($G$2:$G$301=G209) * ($H$2:$H$301=H209) * ($I$2:$I$301=I209) *
      ($J$2:$J$301=J209),0)),"yyyy-mm-dd"),
    "Perlu Klarifikasi"
  )
)</f>
        <v>2024-02-29</v>
      </c>
      <c r="L209" t="str" cm="1">
        <f t="array" ref="L209">IF(
  E209&lt;&gt;"Evening",
  E209,
  IFERROR(
    INDEX($E$2:$E$301, SMALL(
      IF(
        ($B$2:$B$301=B209) * ($C$2:$C$301=C209) * ($D$2:$D$301=D209) *
        ($F$2:$F$301=F209) * ($G$2:$G$301=G209) * ($H$2:$H$301=H209) * ($I$2:$I$301=I209) *
        ($J$2:$J$301=J209) * ($K$2:$K$301=K209) * ($E$2:$E$301&lt;&gt;"Evening"),
        ROW($E$2:$E$301)-ROW($E$2)+1,
        ""
      ),
    1)),
    "Night"
  )
)</f>
        <v>Night</v>
      </c>
    </row>
    <row r="210" spans="1:12" x14ac:dyDescent="0.3">
      <c r="A210" s="25" t="s">
        <v>71</v>
      </c>
      <c r="B210" t="s">
        <v>34</v>
      </c>
      <c r="C210" t="s">
        <v>21</v>
      </c>
      <c r="D210" t="s">
        <v>26</v>
      </c>
      <c r="E210" t="s">
        <v>23</v>
      </c>
      <c r="F210">
        <v>680</v>
      </c>
      <c r="G210">
        <v>2580</v>
      </c>
      <c r="H210">
        <v>4.68</v>
      </c>
      <c r="I210">
        <v>1.22</v>
      </c>
      <c r="J210">
        <v>3.46</v>
      </c>
      <c r="K210" s="25" t="str" cm="1">
        <f t="array" ref="K210">IF(
  ISNUMBER(DATEVALUE(A210)),
  TEXT(DATEVALUE(A210),"yyyy-mm-dd"),
  IFERROR(
    TEXT(INDEX($A$2:$A$301,MATCH(1,
      ($B$2:$B$301=B210) * ($C$2:$C$301=C210) * ($D$2:$D$301=D210) * ($E$2:$E$301=E210) *
      ($F$2:$F$301=F210) * ($G$2:$G$301=G210) * ($H$2:$H$301=H210) * ($I$2:$I$301=I210) *
      ($J$2:$J$301=J210),0)),"yyyy-mm-dd"),
    "Perlu Klarifikasi"
  )
)</f>
        <v>2024-02-29</v>
      </c>
      <c r="L210" t="str" cm="1">
        <f t="array" ref="L210">IF(
  E210&lt;&gt;"Evening",
  E210,
  IFERROR(
    INDEX($E$2:$E$301, SMALL(
      IF(
        ($B$2:$B$301=B210) * ($C$2:$C$301=C210) * ($D$2:$D$301=D210) *
        ($F$2:$F$301=F210) * ($G$2:$G$301=G210) * ($H$2:$H$301=H210) * ($I$2:$I$301=I210) *
        ($J$2:$J$301=J210) * ($K$2:$K$301=K210) * ($E$2:$E$301&lt;&gt;"Evening"),
        ROW($E$2:$E$301)-ROW($E$2)+1,
        ""
      ),
    1)),
    "Night"
  )
)</f>
        <v>Night</v>
      </c>
    </row>
    <row r="211" spans="1:12" x14ac:dyDescent="0.3">
      <c r="A211" s="25" t="s">
        <v>71</v>
      </c>
      <c r="B211" t="s">
        <v>29</v>
      </c>
      <c r="C211" t="s">
        <v>30</v>
      </c>
      <c r="D211" t="s">
        <v>26</v>
      </c>
      <c r="E211" t="s">
        <v>27</v>
      </c>
      <c r="F211">
        <v>4431</v>
      </c>
      <c r="G211">
        <v>4959</v>
      </c>
      <c r="H211">
        <v>6.23</v>
      </c>
      <c r="I211">
        <v>1.1499999999999999</v>
      </c>
      <c r="J211">
        <v>5.08</v>
      </c>
      <c r="K211" s="25" t="str" cm="1">
        <f t="array" ref="K211">IF(
  ISNUMBER(DATEVALUE(A211)),
  TEXT(DATEVALUE(A211),"yyyy-mm-dd"),
  IFERROR(
    TEXT(INDEX($A$2:$A$301,MATCH(1,
      ($B$2:$B$301=B211) * ($C$2:$C$301=C211) * ($D$2:$D$301=D211) * ($E$2:$E$301=E211) *
      ($F$2:$F$301=F211) * ($G$2:$G$301=G211) * ($H$2:$H$301=H211) * ($I$2:$I$301=I211) *
      ($J$2:$J$301=J211),0)),"yyyy-mm-dd"),
    "Perlu Klarifikasi"
  )
)</f>
        <v>2024-02-29</v>
      </c>
      <c r="L211" t="str" cm="1">
        <f t="array" ref="L211">IF(
  E211&lt;&gt;"Evening",
  E211,
  IFERROR(
    INDEX($E$2:$E$301, SMALL(
      IF(
        ($B$2:$B$301=B211) * ($C$2:$C$301=C211) * ($D$2:$D$301=D211) *
        ($F$2:$F$301=F211) * ($G$2:$G$301=G211) * ($H$2:$H$301=H211) * ($I$2:$I$301=I211) *
        ($J$2:$J$301=J211) * ($K$2:$K$301=K211) * ($E$2:$E$301&lt;&gt;"Evening"),
        ROW($E$2:$E$301)-ROW($E$2)+1,
        ""
      ),
    1)),
    "Night"
  )
)</f>
        <v>Day</v>
      </c>
    </row>
    <row r="212" spans="1:12" x14ac:dyDescent="0.3">
      <c r="A212" s="25" t="s">
        <v>83</v>
      </c>
      <c r="B212" t="s">
        <v>20</v>
      </c>
      <c r="C212" t="s">
        <v>21</v>
      </c>
      <c r="D212" t="s">
        <v>22</v>
      </c>
      <c r="E212" t="s">
        <v>23</v>
      </c>
      <c r="F212">
        <v>6125</v>
      </c>
      <c r="G212">
        <v>4468</v>
      </c>
      <c r="H212">
        <v>6.57</v>
      </c>
      <c r="I212">
        <v>0.66</v>
      </c>
      <c r="J212">
        <v>5.91</v>
      </c>
      <c r="K212" s="25" t="str" cm="1">
        <f t="array" ref="K212">IF(
  ISNUMBER(DATEVALUE(A212)),
  TEXT(DATEVALUE(A212),"yyyy-mm-dd"),
  IFERROR(
    TEXT(INDEX($A$2:$A$301,MATCH(1,
      ($B$2:$B$301=B212) * ($C$2:$C$301=C212) * ($D$2:$D$301=D212) * ($E$2:$E$301=E212) *
      ($F$2:$F$301=F212) * ($G$2:$G$301=G212) * ($H$2:$H$301=H212) * ($I$2:$I$301=I212) *
      ($J$2:$J$301=J212),0)),"yyyy-mm-dd"),
    "Perlu Klarifikasi"
  )
)</f>
        <v>2024-03-01</v>
      </c>
      <c r="L212" t="str" cm="1">
        <f t="array" ref="L212">IF(
  E212&lt;&gt;"Evening",
  E212,
  IFERROR(
    INDEX($E$2:$E$301, SMALL(
      IF(
        ($B$2:$B$301=B212) * ($C$2:$C$301=C212) * ($D$2:$D$301=D212) *
        ($F$2:$F$301=F212) * ($G$2:$G$301=G212) * ($H$2:$H$301=H212) * ($I$2:$I$301=I212) *
        ($J$2:$J$301=J212) * ($K$2:$K$301=K212) * ($E$2:$E$301&lt;&gt;"Evening"),
        ROW($E$2:$E$301)-ROW($E$2)+1,
        ""
      ),
    1)),
    "Night"
  )
)</f>
        <v>Night</v>
      </c>
    </row>
    <row r="213" spans="1:12" x14ac:dyDescent="0.3">
      <c r="A213" s="25" t="s">
        <v>83</v>
      </c>
      <c r="B213" t="s">
        <v>29</v>
      </c>
      <c r="C213" t="s">
        <v>30</v>
      </c>
      <c r="D213" t="s">
        <v>26</v>
      </c>
      <c r="E213" t="s">
        <v>27</v>
      </c>
      <c r="F213">
        <v>7696</v>
      </c>
      <c r="G213">
        <v>1475</v>
      </c>
      <c r="H213">
        <v>4.8</v>
      </c>
      <c r="I213">
        <v>1.18</v>
      </c>
      <c r="J213">
        <v>3.62</v>
      </c>
      <c r="K213" s="25" t="str" cm="1">
        <f t="array" ref="K213">IF(
  ISNUMBER(DATEVALUE(A213)),
  TEXT(DATEVALUE(A213),"yyyy-mm-dd"),
  IFERROR(
    TEXT(INDEX($A$2:$A$301,MATCH(1,
      ($B$2:$B$301=B213) * ($C$2:$C$301=C213) * ($D$2:$D$301=D213) * ($E$2:$E$301=E213) *
      ($F$2:$F$301=F213) * ($G$2:$G$301=G213) * ($H$2:$H$301=H213) * ($I$2:$I$301=I213) *
      ($J$2:$J$301=J213),0)),"yyyy-mm-dd"),
    "Perlu Klarifikasi"
  )
)</f>
        <v>2024-03-01</v>
      </c>
      <c r="L213" t="str" cm="1">
        <f t="array" ref="L213">IF(
  E213&lt;&gt;"Evening",
  E213,
  IFERROR(
    INDEX($E$2:$E$301, SMALL(
      IF(
        ($B$2:$B$301=B213) * ($C$2:$C$301=C213) * ($D$2:$D$301=D213) *
        ($F$2:$F$301=F213) * ($G$2:$G$301=G213) * ($H$2:$H$301=H213) * ($I$2:$I$301=I213) *
        ($J$2:$J$301=J213) * ($K$2:$K$301=K213) * ($E$2:$E$301&lt;&gt;"Evening"),
        ROW($E$2:$E$301)-ROW($E$2)+1,
        ""
      ),
    1)),
    "Night"
  )
)</f>
        <v>Day</v>
      </c>
    </row>
    <row r="214" spans="1:12" x14ac:dyDescent="0.3">
      <c r="A214" s="25" t="s">
        <v>83</v>
      </c>
      <c r="B214" t="s">
        <v>20</v>
      </c>
      <c r="C214" t="s">
        <v>25</v>
      </c>
      <c r="D214" t="s">
        <v>26</v>
      </c>
      <c r="E214" t="s">
        <v>23</v>
      </c>
      <c r="F214">
        <v>1305</v>
      </c>
      <c r="G214">
        <v>4560</v>
      </c>
      <c r="H214">
        <v>5.07</v>
      </c>
      <c r="I214">
        <v>0.37</v>
      </c>
      <c r="J214">
        <v>4.7</v>
      </c>
      <c r="K214" s="25" t="str" cm="1">
        <f t="array" ref="K214">IF(
  ISNUMBER(DATEVALUE(A214)),
  TEXT(DATEVALUE(A214),"yyyy-mm-dd"),
  IFERROR(
    TEXT(INDEX($A$2:$A$301,MATCH(1,
      ($B$2:$B$301=B214) * ($C$2:$C$301=C214) * ($D$2:$D$301=D214) * ($E$2:$E$301=E214) *
      ($F$2:$F$301=F214) * ($G$2:$G$301=G214) * ($H$2:$H$301=H214) * ($I$2:$I$301=I214) *
      ($J$2:$J$301=J214),0)),"yyyy-mm-dd"),
    "Perlu Klarifikasi"
  )
)</f>
        <v>2024-03-01</v>
      </c>
      <c r="L214" t="str" cm="1">
        <f t="array" ref="L214">IF(
  E214&lt;&gt;"Evening",
  E214,
  IFERROR(
    INDEX($E$2:$E$301, SMALL(
      IF(
        ($B$2:$B$301=B214) * ($C$2:$C$301=C214) * ($D$2:$D$301=D214) *
        ($F$2:$F$301=F214) * ($G$2:$G$301=G214) * ($H$2:$H$301=H214) * ($I$2:$I$301=I214) *
        ($J$2:$J$301=J214) * ($K$2:$K$301=K214) * ($E$2:$E$301&lt;&gt;"Evening"),
        ROW($E$2:$E$301)-ROW($E$2)+1,
        ""
      ),
    1)),
    "Night"
  )
)</f>
        <v>Night</v>
      </c>
    </row>
    <row r="215" spans="1:12" x14ac:dyDescent="0.3">
      <c r="A215" s="25" t="s">
        <v>50</v>
      </c>
      <c r="B215" t="s">
        <v>29</v>
      </c>
      <c r="C215" t="s">
        <v>21</v>
      </c>
      <c r="D215" t="s">
        <v>31</v>
      </c>
      <c r="E215" t="s">
        <v>23</v>
      </c>
      <c r="F215">
        <v>1345</v>
      </c>
      <c r="G215">
        <v>2991</v>
      </c>
      <c r="H215">
        <v>8.98</v>
      </c>
      <c r="I215">
        <v>0.48</v>
      </c>
      <c r="J215">
        <v>8.5</v>
      </c>
      <c r="K215" s="25" t="str" cm="1">
        <f t="array" ref="K215">IF(
  ISNUMBER(DATEVALUE(A215)),
  TEXT(DATEVALUE(A215),"yyyy-mm-dd"),
  IFERROR(
    TEXT(INDEX($A$2:$A$301,MATCH(1,
      ($B$2:$B$301=B215) * ($C$2:$C$301=C215) * ($D$2:$D$301=D215) * ($E$2:$E$301=E215) *
      ($F$2:$F$301=F215) * ($G$2:$G$301=G215) * ($H$2:$H$301=H215) * ($I$2:$I$301=I215) *
      ($J$2:$J$301=J215),0)),"yyyy-mm-dd"),
    "Perlu Klarifikasi"
  )
)</f>
        <v>2024-03-02</v>
      </c>
      <c r="L215" t="str" cm="1">
        <f t="array" ref="L215">IF(
  E215&lt;&gt;"Evening",
  E215,
  IFERROR(
    INDEX($E$2:$E$301, SMALL(
      IF(
        ($B$2:$B$301=B215) * ($C$2:$C$301=C215) * ($D$2:$D$301=D215) *
        ($F$2:$F$301=F215) * ($G$2:$G$301=G215) * ($H$2:$H$301=H215) * ($I$2:$I$301=I215) *
        ($J$2:$J$301=J215) * ($K$2:$K$301=K215) * ($E$2:$E$301&lt;&gt;"Evening"),
        ROW($E$2:$E$301)-ROW($E$2)+1,
        ""
      ),
    1)),
    "Night"
  )
)</f>
        <v>Night</v>
      </c>
    </row>
    <row r="216" spans="1:12" x14ac:dyDescent="0.3">
      <c r="A216" s="25" t="s">
        <v>50</v>
      </c>
      <c r="B216" t="s">
        <v>29</v>
      </c>
      <c r="C216" t="s">
        <v>21</v>
      </c>
      <c r="D216" t="s">
        <v>31</v>
      </c>
      <c r="E216" t="s">
        <v>23</v>
      </c>
      <c r="F216">
        <v>1345</v>
      </c>
      <c r="G216">
        <v>2991</v>
      </c>
      <c r="H216">
        <v>8.98</v>
      </c>
      <c r="I216">
        <v>0.48</v>
      </c>
      <c r="J216">
        <v>8.5</v>
      </c>
      <c r="K216" s="25" t="str" cm="1">
        <f t="array" ref="K216">IF(
  ISNUMBER(DATEVALUE(A216)),
  TEXT(DATEVALUE(A216),"yyyy-mm-dd"),
  IFERROR(
    TEXT(INDEX($A$2:$A$301,MATCH(1,
      ($B$2:$B$301=B216) * ($C$2:$C$301=C216) * ($D$2:$D$301=D216) * ($E$2:$E$301=E216) *
      ($F$2:$F$301=F216) * ($G$2:$G$301=G216) * ($H$2:$H$301=H216) * ($I$2:$I$301=I216) *
      ($J$2:$J$301=J216),0)),"yyyy-mm-dd"),
    "Perlu Klarifikasi"
  )
)</f>
        <v>2024-03-02</v>
      </c>
      <c r="L216" t="str" cm="1">
        <f t="array" ref="L216">IF(
  E216&lt;&gt;"Evening",
  E216,
  IFERROR(
    INDEX($E$2:$E$301, SMALL(
      IF(
        ($B$2:$B$301=B216) * ($C$2:$C$301=C216) * ($D$2:$D$301=D216) *
        ($F$2:$F$301=F216) * ($G$2:$G$301=G216) * ($H$2:$H$301=H216) * ($I$2:$I$301=I216) *
        ($J$2:$J$301=J216) * ($K$2:$K$301=K216) * ($E$2:$E$301&lt;&gt;"Evening"),
        ROW($E$2:$E$301)-ROW($E$2)+1,
        ""
      ),
    1)),
    "Night"
  )
)</f>
        <v>Night</v>
      </c>
    </row>
    <row r="217" spans="1:12" x14ac:dyDescent="0.3">
      <c r="A217" s="25" t="s">
        <v>50</v>
      </c>
      <c r="B217" t="s">
        <v>29</v>
      </c>
      <c r="C217" t="s">
        <v>21</v>
      </c>
      <c r="D217" t="s">
        <v>31</v>
      </c>
      <c r="E217" t="s">
        <v>23</v>
      </c>
      <c r="F217">
        <v>1345</v>
      </c>
      <c r="G217">
        <v>2991</v>
      </c>
      <c r="H217">
        <v>8.98</v>
      </c>
      <c r="I217">
        <v>0.48</v>
      </c>
      <c r="J217">
        <v>8.5</v>
      </c>
      <c r="K217" s="25" t="str" cm="1">
        <f t="array" ref="K217">IF(
  ISNUMBER(DATEVALUE(A217)),
  TEXT(DATEVALUE(A217),"yyyy-mm-dd"),
  IFERROR(
    TEXT(INDEX($A$2:$A$301,MATCH(1,
      ($B$2:$B$301=B217) * ($C$2:$C$301=C217) * ($D$2:$D$301=D217) * ($E$2:$E$301=E217) *
      ($F$2:$F$301=F217) * ($G$2:$G$301=G217) * ($H$2:$H$301=H217) * ($I$2:$I$301=I217) *
      ($J$2:$J$301=J217),0)),"yyyy-mm-dd"),
    "Perlu Klarifikasi"
  )
)</f>
        <v>2024-03-02</v>
      </c>
      <c r="L217" t="str" cm="1">
        <f t="array" ref="L217">IF(
  E217&lt;&gt;"Evening",
  E217,
  IFERROR(
    INDEX($E$2:$E$301, SMALL(
      IF(
        ($B$2:$B$301=B217) * ($C$2:$C$301=C217) * ($D$2:$D$301=D217) *
        ($F$2:$F$301=F217) * ($G$2:$G$301=G217) * ($H$2:$H$301=H217) * ($I$2:$I$301=I217) *
        ($J$2:$J$301=J217) * ($K$2:$K$301=K217) * ($E$2:$E$301&lt;&gt;"Evening"),
        ROW($E$2:$E$301)-ROW($E$2)+1,
        ""
      ),
    1)),
    "Night"
  )
)</f>
        <v>Night</v>
      </c>
    </row>
    <row r="218" spans="1:12" x14ac:dyDescent="0.3">
      <c r="A218" s="25" t="s">
        <v>50</v>
      </c>
      <c r="B218" t="s">
        <v>20</v>
      </c>
      <c r="C218" t="s">
        <v>30</v>
      </c>
      <c r="D218" t="s">
        <v>22</v>
      </c>
      <c r="E218" t="s">
        <v>27</v>
      </c>
      <c r="F218">
        <v>5981</v>
      </c>
      <c r="G218">
        <v>6829</v>
      </c>
      <c r="H218">
        <v>4.92</v>
      </c>
      <c r="I218">
        <v>1.46</v>
      </c>
      <c r="J218">
        <v>3.46</v>
      </c>
      <c r="K218" s="25" t="str" cm="1">
        <f t="array" ref="K218">IF(
  ISNUMBER(DATEVALUE(A218)),
  TEXT(DATEVALUE(A218),"yyyy-mm-dd"),
  IFERROR(
    TEXT(INDEX($A$2:$A$301,MATCH(1,
      ($B$2:$B$301=B218) * ($C$2:$C$301=C218) * ($D$2:$D$301=D218) * ($E$2:$E$301=E218) *
      ($F$2:$F$301=F218) * ($G$2:$G$301=G218) * ($H$2:$H$301=H218) * ($I$2:$I$301=I218) *
      ($J$2:$J$301=J218),0)),"yyyy-mm-dd"),
    "Perlu Klarifikasi"
  )
)</f>
        <v>2024-03-02</v>
      </c>
      <c r="L218" t="str" cm="1">
        <f t="array" ref="L218">IF(
  E218&lt;&gt;"Evening",
  E218,
  IFERROR(
    INDEX($E$2:$E$301, SMALL(
      IF(
        ($B$2:$B$301=B218) * ($C$2:$C$301=C218) * ($D$2:$D$301=D218) *
        ($F$2:$F$301=F218) * ($G$2:$G$301=G218) * ($H$2:$H$301=H218) * ($I$2:$I$301=I218) *
        ($J$2:$J$301=J218) * ($K$2:$K$301=K218) * ($E$2:$E$301&lt;&gt;"Evening"),
        ROW($E$2:$E$301)-ROW($E$2)+1,
        ""
      ),
    1)),
    "Night"
  )
)</f>
        <v>Day</v>
      </c>
    </row>
    <row r="219" spans="1:12" x14ac:dyDescent="0.3">
      <c r="A219" s="25" t="s">
        <v>50</v>
      </c>
      <c r="B219" t="s">
        <v>34</v>
      </c>
      <c r="C219" t="s">
        <v>25</v>
      </c>
      <c r="D219" t="s">
        <v>22</v>
      </c>
      <c r="E219" t="s">
        <v>23</v>
      </c>
      <c r="F219">
        <v>2342</v>
      </c>
      <c r="G219">
        <v>4730</v>
      </c>
      <c r="H219">
        <v>7.05</v>
      </c>
      <c r="I219">
        <v>0.25</v>
      </c>
      <c r="J219">
        <v>6.8</v>
      </c>
      <c r="K219" s="25" t="str" cm="1">
        <f t="array" ref="K219">IF(
  ISNUMBER(DATEVALUE(A219)),
  TEXT(DATEVALUE(A219),"yyyy-mm-dd"),
  IFERROR(
    TEXT(INDEX($A$2:$A$301,MATCH(1,
      ($B$2:$B$301=B219) * ($C$2:$C$301=C219) * ($D$2:$D$301=D219) * ($E$2:$E$301=E219) *
      ($F$2:$F$301=F219) * ($G$2:$G$301=G219) * ($H$2:$H$301=H219) * ($I$2:$I$301=I219) *
      ($J$2:$J$301=J219),0)),"yyyy-mm-dd"),
    "Perlu Klarifikasi"
  )
)</f>
        <v>2024-03-02</v>
      </c>
      <c r="L219" t="str" cm="1">
        <f t="array" ref="L219">IF(
  E219&lt;&gt;"Evening",
  E219,
  IFERROR(
    INDEX($E$2:$E$301, SMALL(
      IF(
        ($B$2:$B$301=B219) * ($C$2:$C$301=C219) * ($D$2:$D$301=D219) *
        ($F$2:$F$301=F219) * ($G$2:$G$301=G219) * ($H$2:$H$301=H219) * ($I$2:$I$301=I219) *
        ($J$2:$J$301=J219) * ($K$2:$K$301=K219) * ($E$2:$E$301&lt;&gt;"Evening"),
        ROW($E$2:$E$301)-ROW($E$2)+1,
        ""
      ),
    1)),
    "Night"
  )
)</f>
        <v>Night</v>
      </c>
    </row>
    <row r="220" spans="1:12" x14ac:dyDescent="0.3">
      <c r="A220" s="25" t="s">
        <v>68</v>
      </c>
      <c r="B220" t="s">
        <v>29</v>
      </c>
      <c r="C220" t="s">
        <v>21</v>
      </c>
      <c r="D220" t="s">
        <v>31</v>
      </c>
      <c r="E220" t="s">
        <v>27</v>
      </c>
      <c r="F220">
        <v>2122</v>
      </c>
      <c r="G220">
        <v>6499</v>
      </c>
      <c r="H220">
        <v>9.11</v>
      </c>
      <c r="I220">
        <v>0.28999999999999998</v>
      </c>
      <c r="J220">
        <v>8.82</v>
      </c>
      <c r="K220" s="25" t="str" cm="1">
        <f t="array" ref="K220">IF(
  ISNUMBER(DATEVALUE(A220)),
  TEXT(DATEVALUE(A220),"yyyy-mm-dd"),
  IFERROR(
    TEXT(INDEX($A$2:$A$301,MATCH(1,
      ($B$2:$B$301=B220) * ($C$2:$C$301=C220) * ($D$2:$D$301=D220) * ($E$2:$E$301=E220) *
      ($F$2:$F$301=F220) * ($G$2:$G$301=G220) * ($H$2:$H$301=H220) * ($I$2:$I$301=I220) *
      ($J$2:$J$301=J220),0)),"yyyy-mm-dd"),
    "Perlu Klarifikasi"
  )
)</f>
        <v>2024-03-04</v>
      </c>
      <c r="L220" t="str" cm="1">
        <f t="array" ref="L220">IF(
  E220&lt;&gt;"Evening",
  E220,
  IFERROR(
    INDEX($E$2:$E$301, SMALL(
      IF(
        ($B$2:$B$301=B220) * ($C$2:$C$301=C220) * ($D$2:$D$301=D220) *
        ($F$2:$F$301=F220) * ($G$2:$G$301=G220) * ($H$2:$H$301=H220) * ($I$2:$I$301=I220) *
        ($J$2:$J$301=J220) * ($K$2:$K$301=K220) * ($E$2:$E$301&lt;&gt;"Evening"),
        ROW($E$2:$E$301)-ROW($E$2)+1,
        ""
      ),
    1)),
    "Night"
  )
)</f>
        <v>Day</v>
      </c>
    </row>
    <row r="221" spans="1:12" x14ac:dyDescent="0.3">
      <c r="A221" s="25" t="s">
        <v>68</v>
      </c>
      <c r="B221" t="s">
        <v>29</v>
      </c>
      <c r="C221" t="s">
        <v>21</v>
      </c>
      <c r="D221" t="s">
        <v>31</v>
      </c>
      <c r="E221" t="s">
        <v>27</v>
      </c>
      <c r="F221">
        <v>2122</v>
      </c>
      <c r="G221">
        <v>6499</v>
      </c>
      <c r="H221">
        <v>9.11</v>
      </c>
      <c r="I221">
        <v>0.28999999999999998</v>
      </c>
      <c r="J221">
        <v>8.82</v>
      </c>
      <c r="K221" s="25" t="str" cm="1">
        <f t="array" ref="K221">IF(
  ISNUMBER(DATEVALUE(A221)),
  TEXT(DATEVALUE(A221),"yyyy-mm-dd"),
  IFERROR(
    TEXT(INDEX($A$2:$A$301,MATCH(1,
      ($B$2:$B$301=B221) * ($C$2:$C$301=C221) * ($D$2:$D$301=D221) * ($E$2:$E$301=E221) *
      ($F$2:$F$301=F221) * ($G$2:$G$301=G221) * ($H$2:$H$301=H221) * ($I$2:$I$301=I221) *
      ($J$2:$J$301=J221),0)),"yyyy-mm-dd"),
    "Perlu Klarifikasi"
  )
)</f>
        <v>2024-03-04</v>
      </c>
      <c r="L221" t="str" cm="1">
        <f t="array" ref="L221">IF(
  E221&lt;&gt;"Evening",
  E221,
  IFERROR(
    INDEX($E$2:$E$301, SMALL(
      IF(
        ($B$2:$B$301=B221) * ($C$2:$C$301=C221) * ($D$2:$D$301=D221) *
        ($F$2:$F$301=F221) * ($G$2:$G$301=G221) * ($H$2:$H$301=H221) * ($I$2:$I$301=I221) *
        ($J$2:$J$301=J221) * ($K$2:$K$301=K221) * ($E$2:$E$301&lt;&gt;"Evening"),
        ROW($E$2:$E$301)-ROW($E$2)+1,
        ""
      ),
    1)),
    "Night"
  )
)</f>
        <v>Day</v>
      </c>
    </row>
    <row r="222" spans="1:12" x14ac:dyDescent="0.3">
      <c r="A222" s="25" t="s">
        <v>68</v>
      </c>
      <c r="B222" t="s">
        <v>29</v>
      </c>
      <c r="C222" t="s">
        <v>21</v>
      </c>
      <c r="D222" t="s">
        <v>31</v>
      </c>
      <c r="E222" t="s">
        <v>27</v>
      </c>
      <c r="F222">
        <v>2122</v>
      </c>
      <c r="G222">
        <v>6499</v>
      </c>
      <c r="H222">
        <v>9.11</v>
      </c>
      <c r="I222">
        <v>0.28999999999999998</v>
      </c>
      <c r="J222">
        <v>8.82</v>
      </c>
      <c r="K222" s="25" t="str" cm="1">
        <f t="array" ref="K222">IF(
  ISNUMBER(DATEVALUE(A222)),
  TEXT(DATEVALUE(A222),"yyyy-mm-dd"),
  IFERROR(
    TEXT(INDEX($A$2:$A$301,MATCH(1,
      ($B$2:$B$301=B222) * ($C$2:$C$301=C222) * ($D$2:$D$301=D222) * ($E$2:$E$301=E222) *
      ($F$2:$F$301=F222) * ($G$2:$G$301=G222) * ($H$2:$H$301=H222) * ($I$2:$I$301=I222) *
      ($J$2:$J$301=J222),0)),"yyyy-mm-dd"),
    "Perlu Klarifikasi"
  )
)</f>
        <v>2024-03-04</v>
      </c>
      <c r="L222" t="str" cm="1">
        <f t="array" ref="L222">IF(
  E222&lt;&gt;"Evening",
  E222,
  IFERROR(
    INDEX($E$2:$E$301, SMALL(
      IF(
        ($B$2:$B$301=B222) * ($C$2:$C$301=C222) * ($D$2:$D$301=D222) *
        ($F$2:$F$301=F222) * ($G$2:$G$301=G222) * ($H$2:$H$301=H222) * ($I$2:$I$301=I222) *
        ($J$2:$J$301=J222) * ($K$2:$K$301=K222) * ($E$2:$E$301&lt;&gt;"Evening"),
        ROW($E$2:$E$301)-ROW($E$2)+1,
        ""
      ),
    1)),
    "Night"
  )
)</f>
        <v>Day</v>
      </c>
    </row>
    <row r="223" spans="1:12" x14ac:dyDescent="0.3">
      <c r="A223" s="25" t="s">
        <v>74</v>
      </c>
      <c r="B223" t="s">
        <v>29</v>
      </c>
      <c r="C223" t="s">
        <v>30</v>
      </c>
      <c r="D223" t="s">
        <v>26</v>
      </c>
      <c r="E223" t="s">
        <v>27</v>
      </c>
      <c r="F223">
        <v>4746</v>
      </c>
      <c r="G223">
        <v>2902</v>
      </c>
      <c r="H223">
        <v>4.88</v>
      </c>
      <c r="I223">
        <v>1.2</v>
      </c>
      <c r="J223">
        <v>3.68</v>
      </c>
      <c r="K223" s="25" t="str" cm="1">
        <f t="array" ref="K223">IF(
  ISNUMBER(DATEVALUE(A223)),
  TEXT(DATEVALUE(A223),"yyyy-mm-dd"),
  IFERROR(
    TEXT(INDEX($A$2:$A$301,MATCH(1,
      ($B$2:$B$301=B223) * ($C$2:$C$301=C223) * ($D$2:$D$301=D223) * ($E$2:$E$301=E223) *
      ($F$2:$F$301=F223) * ($G$2:$G$301=G223) * ($H$2:$H$301=H223) * ($I$2:$I$301=I223) *
      ($J$2:$J$301=J223),0)),"yyyy-mm-dd"),
    "Perlu Klarifikasi"
  )
)</f>
        <v>2024-03-05</v>
      </c>
      <c r="L223" t="str" cm="1">
        <f t="array" ref="L223">IF(
  E223&lt;&gt;"Evening",
  E223,
  IFERROR(
    INDEX($E$2:$E$301, SMALL(
      IF(
        ($B$2:$B$301=B223) * ($C$2:$C$301=C223) * ($D$2:$D$301=D223) *
        ($F$2:$F$301=F223) * ($G$2:$G$301=G223) * ($H$2:$H$301=H223) * ($I$2:$I$301=I223) *
        ($J$2:$J$301=J223) * ($K$2:$K$301=K223) * ($E$2:$E$301&lt;&gt;"Evening"),
        ROW($E$2:$E$301)-ROW($E$2)+1,
        ""
      ),
    1)),
    "Night"
  )
)</f>
        <v>Day</v>
      </c>
    </row>
    <row r="224" spans="1:12" x14ac:dyDescent="0.3">
      <c r="A224" s="25" t="s">
        <v>74</v>
      </c>
      <c r="B224" t="s">
        <v>29</v>
      </c>
      <c r="C224" t="s">
        <v>30</v>
      </c>
      <c r="D224" t="s">
        <v>26</v>
      </c>
      <c r="E224" t="s">
        <v>27</v>
      </c>
      <c r="F224">
        <v>4746</v>
      </c>
      <c r="G224">
        <v>2902</v>
      </c>
      <c r="H224">
        <v>4.88</v>
      </c>
      <c r="I224">
        <v>1.2</v>
      </c>
      <c r="J224">
        <v>3.68</v>
      </c>
      <c r="K224" s="25" t="str" cm="1">
        <f t="array" ref="K224">IF(
  ISNUMBER(DATEVALUE(A224)),
  TEXT(DATEVALUE(A224),"yyyy-mm-dd"),
  IFERROR(
    TEXT(INDEX($A$2:$A$301,MATCH(1,
      ($B$2:$B$301=B224) * ($C$2:$C$301=C224) * ($D$2:$D$301=D224) * ($E$2:$E$301=E224) *
      ($F$2:$F$301=F224) * ($G$2:$G$301=G224) * ($H$2:$H$301=H224) * ($I$2:$I$301=I224) *
      ($J$2:$J$301=J224),0)),"yyyy-mm-dd"),
    "Perlu Klarifikasi"
  )
)</f>
        <v>2024-03-05</v>
      </c>
      <c r="L224" t="str" cm="1">
        <f t="array" ref="L224">IF(
  E224&lt;&gt;"Evening",
  E224,
  IFERROR(
    INDEX($E$2:$E$301, SMALL(
      IF(
        ($B$2:$B$301=B224) * ($C$2:$C$301=C224) * ($D$2:$D$301=D224) *
        ($F$2:$F$301=F224) * ($G$2:$G$301=G224) * ($H$2:$H$301=H224) * ($I$2:$I$301=I224) *
        ($J$2:$J$301=J224) * ($K$2:$K$301=K224) * ($E$2:$E$301&lt;&gt;"Evening"),
        ROW($E$2:$E$301)-ROW($E$2)+1,
        ""
      ),
    1)),
    "Night"
  )
)</f>
        <v>Day</v>
      </c>
    </row>
    <row r="225" spans="1:12" x14ac:dyDescent="0.3">
      <c r="A225" s="26" t="s">
        <v>52</v>
      </c>
      <c r="B225" t="s">
        <v>29</v>
      </c>
      <c r="C225" t="s">
        <v>30</v>
      </c>
      <c r="D225" t="s">
        <v>26</v>
      </c>
      <c r="E225" t="s">
        <v>27</v>
      </c>
      <c r="F225">
        <v>4746</v>
      </c>
      <c r="G225">
        <v>2902</v>
      </c>
      <c r="H225">
        <v>4.88</v>
      </c>
      <c r="I225">
        <v>1.2</v>
      </c>
      <c r="J225">
        <v>3.68</v>
      </c>
      <c r="K225" s="25" t="str" cm="1">
        <f t="array" ref="K225">IF(
  ISNUMBER(DATEVALUE(A225)),
  TEXT(DATEVALUE(A225),"yyyy-mm-dd"),
  IFERROR(
    TEXT(INDEX($A$2:$A$301,MATCH(1,
      ($B$2:$B$301=B225) * ($C$2:$C$301=C225) * ($D$2:$D$301=D225) * ($E$2:$E$301=E225) *
      ($F$2:$F$301=F225) * ($G$2:$G$301=G225) * ($H$2:$H$301=H225) * ($I$2:$I$301=I225) *
      ($J$2:$J$301=J225),0)),"yyyy-mm-dd"),
    "Perlu Klarifikasi"
  )
)</f>
        <v>2024-03-05</v>
      </c>
      <c r="L225" t="str" cm="1">
        <f t="array" ref="L225">IF(
  E225&lt;&gt;"Evening",
  E225,
  IFERROR(
    INDEX($E$2:$E$301, SMALL(
      IF(
        ($B$2:$B$301=B225) * ($C$2:$C$301=C225) * ($D$2:$D$301=D225) *
        ($F$2:$F$301=F225) * ($G$2:$G$301=G225) * ($H$2:$H$301=H225) * ($I$2:$I$301=I225) *
        ($J$2:$J$301=J225) * ($K$2:$K$301=K225) * ($E$2:$E$301&lt;&gt;"Evening"),
        ROW($E$2:$E$301)-ROW($E$2)+1,
        ""
      ),
    1)),
    "Night"
  )
)</f>
        <v>Day</v>
      </c>
    </row>
    <row r="226" spans="1:12" x14ac:dyDescent="0.3">
      <c r="A226" s="25" t="s">
        <v>74</v>
      </c>
      <c r="B226" t="s">
        <v>29</v>
      </c>
      <c r="C226" t="s">
        <v>25</v>
      </c>
      <c r="D226" t="s">
        <v>22</v>
      </c>
      <c r="E226" t="s">
        <v>23</v>
      </c>
      <c r="F226">
        <v>4646</v>
      </c>
      <c r="G226">
        <v>6633</v>
      </c>
      <c r="H226">
        <v>8.1300000000000008</v>
      </c>
      <c r="I226">
        <v>0.82</v>
      </c>
      <c r="J226">
        <v>7.31</v>
      </c>
      <c r="K226" s="25" t="str" cm="1">
        <f t="array" ref="K226">IF(
  ISNUMBER(DATEVALUE(A226)),
  TEXT(DATEVALUE(A226),"yyyy-mm-dd"),
  IFERROR(
    TEXT(INDEX($A$2:$A$301,MATCH(1,
      ($B$2:$B$301=B226) * ($C$2:$C$301=C226) * ($D$2:$D$301=D226) * ($E$2:$E$301=E226) *
      ($F$2:$F$301=F226) * ($G$2:$G$301=G226) * ($H$2:$H$301=H226) * ($I$2:$I$301=I226) *
      ($J$2:$J$301=J226),0)),"yyyy-mm-dd"),
    "Perlu Klarifikasi"
  )
)</f>
        <v>2024-03-05</v>
      </c>
      <c r="L226" t="str" cm="1">
        <f t="array" ref="L226">IF(
  E226&lt;&gt;"Evening",
  E226,
  IFERROR(
    INDEX($E$2:$E$301, SMALL(
      IF(
        ($B$2:$B$301=B226) * ($C$2:$C$301=C226) * ($D$2:$D$301=D226) *
        ($F$2:$F$301=F226) * ($G$2:$G$301=G226) * ($H$2:$H$301=H226) * ($I$2:$I$301=I226) *
        ($J$2:$J$301=J226) * ($K$2:$K$301=K226) * ($E$2:$E$301&lt;&gt;"Evening"),
        ROW($E$2:$E$301)-ROW($E$2)+1,
        ""
      ),
    1)),
    "Night"
  )
)</f>
        <v>Night</v>
      </c>
    </row>
    <row r="227" spans="1:12" x14ac:dyDescent="0.3">
      <c r="A227" s="25" t="s">
        <v>82</v>
      </c>
      <c r="B227" t="s">
        <v>29</v>
      </c>
      <c r="C227" t="s">
        <v>25</v>
      </c>
      <c r="D227" t="s">
        <v>31</v>
      </c>
      <c r="E227" t="s">
        <v>23</v>
      </c>
      <c r="F227">
        <v>5891</v>
      </c>
      <c r="G227">
        <v>2601</v>
      </c>
      <c r="H227">
        <v>7.52</v>
      </c>
      <c r="I227">
        <v>2</v>
      </c>
      <c r="J227">
        <v>5.52</v>
      </c>
      <c r="K227" s="25" t="str" cm="1">
        <f t="array" ref="K227">IF(
  ISNUMBER(DATEVALUE(A227)),
  TEXT(DATEVALUE(A227),"yyyy-mm-dd"),
  IFERROR(
    TEXT(INDEX($A$2:$A$301,MATCH(1,
      ($B$2:$B$301=B227) * ($C$2:$C$301=C227) * ($D$2:$D$301=D227) * ($E$2:$E$301=E227) *
      ($F$2:$F$301=F227) * ($G$2:$G$301=G227) * ($H$2:$H$301=H227) * ($I$2:$I$301=I227) *
      ($J$2:$J$301=J227),0)),"yyyy-mm-dd"),
    "Perlu Klarifikasi"
  )
)</f>
        <v>2024-03-06</v>
      </c>
      <c r="L227" t="str" cm="1">
        <f t="array" ref="L227">IF(
  E227&lt;&gt;"Evening",
  E227,
  IFERROR(
    INDEX($E$2:$E$301, SMALL(
      IF(
        ($B$2:$B$301=B227) * ($C$2:$C$301=C227) * ($D$2:$D$301=D227) *
        ($F$2:$F$301=F227) * ($G$2:$G$301=G227) * ($H$2:$H$301=H227) * ($I$2:$I$301=I227) *
        ($J$2:$J$301=J227) * ($K$2:$K$301=K227) * ($E$2:$E$301&lt;&gt;"Evening"),
        ROW($E$2:$E$301)-ROW($E$2)+1,
        ""
      ),
    1)),
    "Night"
  )
)</f>
        <v>Night</v>
      </c>
    </row>
    <row r="228" spans="1:12" x14ac:dyDescent="0.3">
      <c r="A228" s="25" t="s">
        <v>82</v>
      </c>
      <c r="B228" t="s">
        <v>29</v>
      </c>
      <c r="C228" t="s">
        <v>25</v>
      </c>
      <c r="D228" t="s">
        <v>31</v>
      </c>
      <c r="E228" t="s">
        <v>23</v>
      </c>
      <c r="F228">
        <v>5891</v>
      </c>
      <c r="G228">
        <v>2601</v>
      </c>
      <c r="H228">
        <v>7.52</v>
      </c>
      <c r="I228">
        <v>2</v>
      </c>
      <c r="J228">
        <v>5.52</v>
      </c>
      <c r="K228" s="25" t="str" cm="1">
        <f t="array" ref="K228">IF(
  ISNUMBER(DATEVALUE(A228)),
  TEXT(DATEVALUE(A228),"yyyy-mm-dd"),
  IFERROR(
    TEXT(INDEX($A$2:$A$301,MATCH(1,
      ($B$2:$B$301=B228) * ($C$2:$C$301=C228) * ($D$2:$D$301=D228) * ($E$2:$E$301=E228) *
      ($F$2:$F$301=F228) * ($G$2:$G$301=G228) * ($H$2:$H$301=H228) * ($I$2:$I$301=I228) *
      ($J$2:$J$301=J228),0)),"yyyy-mm-dd"),
    "Perlu Klarifikasi"
  )
)</f>
        <v>2024-03-06</v>
      </c>
      <c r="L228" t="str" cm="1">
        <f t="array" ref="L228">IF(
  E228&lt;&gt;"Evening",
  E228,
  IFERROR(
    INDEX($E$2:$E$301, SMALL(
      IF(
        ($B$2:$B$301=B228) * ($C$2:$C$301=C228) * ($D$2:$D$301=D228) *
        ($F$2:$F$301=F228) * ($G$2:$G$301=G228) * ($H$2:$H$301=H228) * ($I$2:$I$301=I228) *
        ($J$2:$J$301=J228) * ($K$2:$K$301=K228) * ($E$2:$E$301&lt;&gt;"Evening"),
        ROW($E$2:$E$301)-ROW($E$2)+1,
        ""
      ),
    1)),
    "Night"
  )
)</f>
        <v>Night</v>
      </c>
    </row>
    <row r="229" spans="1:12" x14ac:dyDescent="0.3">
      <c r="A229" s="25" t="s">
        <v>82</v>
      </c>
      <c r="B229" t="s">
        <v>29</v>
      </c>
      <c r="C229" t="s">
        <v>25</v>
      </c>
      <c r="D229" t="s">
        <v>31</v>
      </c>
      <c r="E229" t="s">
        <v>23</v>
      </c>
      <c r="F229">
        <v>5891</v>
      </c>
      <c r="G229">
        <v>2601</v>
      </c>
      <c r="H229">
        <v>7.52</v>
      </c>
      <c r="I229">
        <v>2</v>
      </c>
      <c r="J229">
        <v>5.52</v>
      </c>
      <c r="K229" s="25" t="str" cm="1">
        <f t="array" ref="K229">IF(
  ISNUMBER(DATEVALUE(A229)),
  TEXT(DATEVALUE(A229),"yyyy-mm-dd"),
  IFERROR(
    TEXT(INDEX($A$2:$A$301,MATCH(1,
      ($B$2:$B$301=B229) * ($C$2:$C$301=C229) * ($D$2:$D$301=D229) * ($E$2:$E$301=E229) *
      ($F$2:$F$301=F229) * ($G$2:$G$301=G229) * ($H$2:$H$301=H229) * ($I$2:$I$301=I229) *
      ($J$2:$J$301=J229),0)),"yyyy-mm-dd"),
    "Perlu Klarifikasi"
  )
)</f>
        <v>2024-03-06</v>
      </c>
      <c r="L229" t="str" cm="1">
        <f t="array" ref="L229">IF(
  E229&lt;&gt;"Evening",
  E229,
  IFERROR(
    INDEX($E$2:$E$301, SMALL(
      IF(
        ($B$2:$B$301=B229) * ($C$2:$C$301=C229) * ($D$2:$D$301=D229) *
        ($F$2:$F$301=F229) * ($G$2:$G$301=G229) * ($H$2:$H$301=H229) * ($I$2:$I$301=I229) *
        ($J$2:$J$301=J229) * ($K$2:$K$301=K229) * ($E$2:$E$301&lt;&gt;"Evening"),
        ROW($E$2:$E$301)-ROW($E$2)+1,
        ""
      ),
    1)),
    "Night"
  )
)</f>
        <v>Night</v>
      </c>
    </row>
    <row r="230" spans="1:12" x14ac:dyDescent="0.3">
      <c r="A230" s="25" t="s">
        <v>62</v>
      </c>
      <c r="B230" t="s">
        <v>20</v>
      </c>
      <c r="C230" t="s">
        <v>30</v>
      </c>
      <c r="D230" t="s">
        <v>26</v>
      </c>
      <c r="E230" t="s">
        <v>23</v>
      </c>
      <c r="F230">
        <v>6813</v>
      </c>
      <c r="G230">
        <v>1589</v>
      </c>
      <c r="H230">
        <v>6.28</v>
      </c>
      <c r="I230">
        <v>0.86</v>
      </c>
      <c r="J230">
        <v>5.42</v>
      </c>
      <c r="K230" s="25" t="str" cm="1">
        <f t="array" ref="K230">IF(
  ISNUMBER(DATEVALUE(A230)),
  TEXT(DATEVALUE(A230),"yyyy-mm-dd"),
  IFERROR(
    TEXT(INDEX($A$2:$A$301,MATCH(1,
      ($B$2:$B$301=B230) * ($C$2:$C$301=C230) * ($D$2:$D$301=D230) * ($E$2:$E$301=E230) *
      ($F$2:$F$301=F230) * ($G$2:$G$301=G230) * ($H$2:$H$301=H230) * ($I$2:$I$301=I230) *
      ($J$2:$J$301=J230),0)),"yyyy-mm-dd"),
    "Perlu Klarifikasi"
  )
)</f>
        <v>2024-03-07</v>
      </c>
      <c r="L230" t="str" cm="1">
        <f t="array" ref="L230">IF(
  E230&lt;&gt;"Evening",
  E230,
  IFERROR(
    INDEX($E$2:$E$301, SMALL(
      IF(
        ($B$2:$B$301=B230) * ($C$2:$C$301=C230) * ($D$2:$D$301=D230) *
        ($F$2:$F$301=F230) * ($G$2:$G$301=G230) * ($H$2:$H$301=H230) * ($I$2:$I$301=I230) *
        ($J$2:$J$301=J230) * ($K$2:$K$301=K230) * ($E$2:$E$301&lt;&gt;"Evening"),
        ROW($E$2:$E$301)-ROW($E$2)+1,
        ""
      ),
    1)),
    "Night"
  )
)</f>
        <v>Night</v>
      </c>
    </row>
    <row r="231" spans="1:12" x14ac:dyDescent="0.3">
      <c r="A231" s="25" t="s">
        <v>62</v>
      </c>
      <c r="B231" t="s">
        <v>20</v>
      </c>
      <c r="C231" t="s">
        <v>30</v>
      </c>
      <c r="D231" t="s">
        <v>26</v>
      </c>
      <c r="E231" t="s">
        <v>23</v>
      </c>
      <c r="F231">
        <v>6813</v>
      </c>
      <c r="G231">
        <v>1589</v>
      </c>
      <c r="H231">
        <v>6.28</v>
      </c>
      <c r="I231">
        <v>0.86</v>
      </c>
      <c r="J231">
        <v>5.42</v>
      </c>
      <c r="K231" s="25" t="str" cm="1">
        <f t="array" ref="K231">IF(
  ISNUMBER(DATEVALUE(A231)),
  TEXT(DATEVALUE(A231),"yyyy-mm-dd"),
  IFERROR(
    TEXT(INDEX($A$2:$A$301,MATCH(1,
      ($B$2:$B$301=B231) * ($C$2:$C$301=C231) * ($D$2:$D$301=D231) * ($E$2:$E$301=E231) *
      ($F$2:$F$301=F231) * ($G$2:$G$301=G231) * ($H$2:$H$301=H231) * ($I$2:$I$301=I231) *
      ($J$2:$J$301=J231),0)),"yyyy-mm-dd"),
    "Perlu Klarifikasi"
  )
)</f>
        <v>2024-03-07</v>
      </c>
      <c r="L231" t="str" cm="1">
        <f t="array" ref="L231">IF(
  E231&lt;&gt;"Evening",
  E231,
  IFERROR(
    INDEX($E$2:$E$301, SMALL(
      IF(
        ($B$2:$B$301=B231) * ($C$2:$C$301=C231) * ($D$2:$D$301=D231) *
        ($F$2:$F$301=F231) * ($G$2:$G$301=G231) * ($H$2:$H$301=H231) * ($I$2:$I$301=I231) *
        ($J$2:$J$301=J231) * ($K$2:$K$301=K231) * ($E$2:$E$301&lt;&gt;"Evening"),
        ROW($E$2:$E$301)-ROW($E$2)+1,
        ""
      ),
    1)),
    "Night"
  )
)</f>
        <v>Night</v>
      </c>
    </row>
    <row r="232" spans="1:12" x14ac:dyDescent="0.3">
      <c r="A232" s="25" t="s">
        <v>38</v>
      </c>
      <c r="B232" t="s">
        <v>20</v>
      </c>
      <c r="C232" t="s">
        <v>25</v>
      </c>
      <c r="D232" t="s">
        <v>26</v>
      </c>
      <c r="E232" t="s">
        <v>23</v>
      </c>
      <c r="F232">
        <v>6864</v>
      </c>
      <c r="G232">
        <v>455</v>
      </c>
      <c r="H232">
        <v>8.11</v>
      </c>
      <c r="I232">
        <v>1.58</v>
      </c>
      <c r="J232">
        <v>6.53</v>
      </c>
      <c r="K232" s="25" t="str" cm="1">
        <f t="array" ref="K232">IF(
  ISNUMBER(DATEVALUE(A232)),
  TEXT(DATEVALUE(A232),"yyyy-mm-dd"),
  IFERROR(
    TEXT(INDEX($A$2:$A$301,MATCH(1,
      ($B$2:$B$301=B232) * ($C$2:$C$301=C232) * ($D$2:$D$301=D232) * ($E$2:$E$301=E232) *
      ($F$2:$F$301=F232) * ($G$2:$G$301=G232) * ($H$2:$H$301=H232) * ($I$2:$I$301=I232) *
      ($J$2:$J$301=J232),0)),"yyyy-mm-dd"),
    "Perlu Klarifikasi"
  )
)</f>
        <v>2024-03-09</v>
      </c>
      <c r="L232" t="str" cm="1">
        <f t="array" ref="L232">IF(
  E232&lt;&gt;"Evening",
  E232,
  IFERROR(
    INDEX($E$2:$E$301, SMALL(
      IF(
        ($B$2:$B$301=B232) * ($C$2:$C$301=C232) * ($D$2:$D$301=D232) *
        ($F$2:$F$301=F232) * ($G$2:$G$301=G232) * ($H$2:$H$301=H232) * ($I$2:$I$301=I232) *
        ($J$2:$J$301=J232) * ($K$2:$K$301=K232) * ($E$2:$E$301&lt;&gt;"Evening"),
        ROW($E$2:$E$301)-ROW($E$2)+1,
        ""
      ),
    1)),
    "Night"
  )
)</f>
        <v>Night</v>
      </c>
    </row>
    <row r="233" spans="1:12" x14ac:dyDescent="0.3">
      <c r="A233" s="25" t="s">
        <v>38</v>
      </c>
      <c r="B233" t="s">
        <v>20</v>
      </c>
      <c r="C233" t="s">
        <v>25</v>
      </c>
      <c r="D233" t="s">
        <v>26</v>
      </c>
      <c r="E233" t="s">
        <v>23</v>
      </c>
      <c r="F233">
        <v>6864</v>
      </c>
      <c r="G233">
        <v>455</v>
      </c>
      <c r="H233">
        <v>8.11</v>
      </c>
      <c r="I233">
        <v>1.58</v>
      </c>
      <c r="J233">
        <v>6.53</v>
      </c>
      <c r="K233" s="25" t="str" cm="1">
        <f t="array" ref="K233">IF(
  ISNUMBER(DATEVALUE(A233)),
  TEXT(DATEVALUE(A233),"yyyy-mm-dd"),
  IFERROR(
    TEXT(INDEX($A$2:$A$301,MATCH(1,
      ($B$2:$B$301=B233) * ($C$2:$C$301=C233) * ($D$2:$D$301=D233) * ($E$2:$E$301=E233) *
      ($F$2:$F$301=F233) * ($G$2:$G$301=G233) * ($H$2:$H$301=H233) * ($I$2:$I$301=I233) *
      ($J$2:$J$301=J233),0)),"yyyy-mm-dd"),
    "Perlu Klarifikasi"
  )
)</f>
        <v>2024-03-09</v>
      </c>
      <c r="L233" t="str" cm="1">
        <f t="array" ref="L233">IF(
  E233&lt;&gt;"Evening",
  E233,
  IFERROR(
    INDEX($E$2:$E$301, SMALL(
      IF(
        ($B$2:$B$301=B233) * ($C$2:$C$301=C233) * ($D$2:$D$301=D233) *
        ($F$2:$F$301=F233) * ($G$2:$G$301=G233) * ($H$2:$H$301=H233) * ($I$2:$I$301=I233) *
        ($J$2:$J$301=J233) * ($K$2:$K$301=K233) * ($E$2:$E$301&lt;&gt;"Evening"),
        ROW($E$2:$E$301)-ROW($E$2)+1,
        ""
      ),
    1)),
    "Night"
  )
)</f>
        <v>Night</v>
      </c>
    </row>
    <row r="234" spans="1:12" x14ac:dyDescent="0.3">
      <c r="A234" s="25" t="s">
        <v>38</v>
      </c>
      <c r="B234" t="s">
        <v>20</v>
      </c>
      <c r="C234" t="s">
        <v>25</v>
      </c>
      <c r="D234" t="s">
        <v>26</v>
      </c>
      <c r="E234" t="s">
        <v>23</v>
      </c>
      <c r="F234">
        <v>6864</v>
      </c>
      <c r="G234">
        <v>455</v>
      </c>
      <c r="H234">
        <v>8.11</v>
      </c>
      <c r="I234">
        <v>1.58</v>
      </c>
      <c r="J234">
        <v>6.53</v>
      </c>
      <c r="K234" s="25" t="str" cm="1">
        <f t="array" ref="K234">IF(
  ISNUMBER(DATEVALUE(A234)),
  TEXT(DATEVALUE(A234),"yyyy-mm-dd"),
  IFERROR(
    TEXT(INDEX($A$2:$A$301,MATCH(1,
      ($B$2:$B$301=B234) * ($C$2:$C$301=C234) * ($D$2:$D$301=D234) * ($E$2:$E$301=E234) *
      ($F$2:$F$301=F234) * ($G$2:$G$301=G234) * ($H$2:$H$301=H234) * ($I$2:$I$301=I234) *
      ($J$2:$J$301=J234),0)),"yyyy-mm-dd"),
    "Perlu Klarifikasi"
  )
)</f>
        <v>2024-03-09</v>
      </c>
      <c r="L234" t="str" cm="1">
        <f t="array" ref="L234">IF(
  E234&lt;&gt;"Evening",
  E234,
  IFERROR(
    INDEX($E$2:$E$301, SMALL(
      IF(
        ($B$2:$B$301=B234) * ($C$2:$C$301=C234) * ($D$2:$D$301=D234) *
        ($F$2:$F$301=F234) * ($G$2:$G$301=G234) * ($H$2:$H$301=H234) * ($I$2:$I$301=I234) *
        ($J$2:$J$301=J234) * ($K$2:$K$301=K234) * ($E$2:$E$301&lt;&gt;"Evening"),
        ROW($E$2:$E$301)-ROW($E$2)+1,
        ""
      ),
    1)),
    "Night"
  )
)</f>
        <v>Night</v>
      </c>
    </row>
    <row r="235" spans="1:12" x14ac:dyDescent="0.3">
      <c r="A235" s="25" t="s">
        <v>38</v>
      </c>
      <c r="B235" t="s">
        <v>34</v>
      </c>
      <c r="C235" t="s">
        <v>30</v>
      </c>
      <c r="D235" t="s">
        <v>22</v>
      </c>
      <c r="E235" t="s">
        <v>27</v>
      </c>
      <c r="F235">
        <v>7832</v>
      </c>
      <c r="G235">
        <v>6630</v>
      </c>
      <c r="H235">
        <v>6.29</v>
      </c>
      <c r="I235">
        <v>1.53</v>
      </c>
      <c r="J235">
        <v>4.76</v>
      </c>
      <c r="K235" s="25" t="str" cm="1">
        <f t="array" ref="K235">IF(
  ISNUMBER(DATEVALUE(A235)),
  TEXT(DATEVALUE(A235),"yyyy-mm-dd"),
  IFERROR(
    TEXT(INDEX($A$2:$A$301,MATCH(1,
      ($B$2:$B$301=B235) * ($C$2:$C$301=C235) * ($D$2:$D$301=D235) * ($E$2:$E$301=E235) *
      ($F$2:$F$301=F235) * ($G$2:$G$301=G235) * ($H$2:$H$301=H235) * ($I$2:$I$301=I235) *
      ($J$2:$J$301=J235),0)),"yyyy-mm-dd"),
    "Perlu Klarifikasi"
  )
)</f>
        <v>2024-03-09</v>
      </c>
      <c r="L235" t="str" cm="1">
        <f t="array" ref="L235">IF(
  E235&lt;&gt;"Evening",
  E235,
  IFERROR(
    INDEX($E$2:$E$301, SMALL(
      IF(
        ($B$2:$B$301=B235) * ($C$2:$C$301=C235) * ($D$2:$D$301=D235) *
        ($F$2:$F$301=F235) * ($G$2:$G$301=G235) * ($H$2:$H$301=H235) * ($I$2:$I$301=I235) *
        ($J$2:$J$301=J235) * ($K$2:$K$301=K235) * ($E$2:$E$301&lt;&gt;"Evening"),
        ROW($E$2:$E$301)-ROW($E$2)+1,
        ""
      ),
    1)),
    "Night"
  )
)</f>
        <v>Day</v>
      </c>
    </row>
    <row r="236" spans="1:12" x14ac:dyDescent="0.3">
      <c r="A236" s="25" t="s">
        <v>38</v>
      </c>
      <c r="B236" t="s">
        <v>29</v>
      </c>
      <c r="C236" t="s">
        <v>21</v>
      </c>
      <c r="D236" t="s">
        <v>26</v>
      </c>
      <c r="E236" s="22" t="s">
        <v>32</v>
      </c>
      <c r="F236">
        <v>4816</v>
      </c>
      <c r="G236">
        <v>1936</v>
      </c>
      <c r="H236">
        <v>8.69</v>
      </c>
      <c r="I236">
        <v>1.75</v>
      </c>
      <c r="J236">
        <v>6.94</v>
      </c>
      <c r="K236" s="25" t="str" cm="1">
        <f t="array" ref="K236">IF(
  ISNUMBER(DATEVALUE(A236)),
  TEXT(DATEVALUE(A236),"yyyy-mm-dd"),
  IFERROR(
    TEXT(INDEX($A$2:$A$301,MATCH(1,
      ($B$2:$B$301=B236) * ($C$2:$C$301=C236) * ($D$2:$D$301=D236) * ($E$2:$E$301=E236) *
      ($F$2:$F$301=F236) * ($G$2:$G$301=G236) * ($H$2:$H$301=H236) * ($I$2:$I$301=I236) *
      ($J$2:$J$301=J236),0)),"yyyy-mm-dd"),
    "Perlu Klarifikasi"
  )
)</f>
        <v>2024-03-09</v>
      </c>
      <c r="L236" t="str" cm="1">
        <f t="array" ref="L236">IF(
  E236&lt;&gt;"Evening",
  E236,
  IFERROR(
    INDEX($E$2:$E$301, SMALL(
      IF(
        ($B$2:$B$301=B236) * ($C$2:$C$301=C236) * ($D$2:$D$301=D236) *
        ($F$2:$F$301=F236) * ($G$2:$G$301=G236) * ($H$2:$H$301=H236) * ($I$2:$I$301=I236) *
        ($J$2:$J$301=J236) * ($K$2:$K$301=K236) * ($E$2:$E$301&lt;&gt;"Evening"),
        ROW($E$2:$E$301)-ROW($E$2)+1,
        ""
      ),
    1)),
    "Night"
  )
)</f>
        <v>Night</v>
      </c>
    </row>
    <row r="237" spans="1:12" x14ac:dyDescent="0.3">
      <c r="A237" s="25" t="s">
        <v>73</v>
      </c>
      <c r="B237" t="s">
        <v>20</v>
      </c>
      <c r="C237" t="s">
        <v>25</v>
      </c>
      <c r="D237" t="s">
        <v>26</v>
      </c>
      <c r="E237" t="s">
        <v>23</v>
      </c>
      <c r="F237">
        <v>3975</v>
      </c>
      <c r="G237">
        <v>715</v>
      </c>
      <c r="H237">
        <v>5.37</v>
      </c>
      <c r="I237">
        <v>0.45</v>
      </c>
      <c r="J237">
        <v>4.92</v>
      </c>
      <c r="K237" s="25" t="str" cm="1">
        <f t="array" ref="K237">IF(
  ISNUMBER(DATEVALUE(A237)),
  TEXT(DATEVALUE(A237),"yyyy-mm-dd"),
  IFERROR(
    TEXT(INDEX($A$2:$A$301,MATCH(1,
      ($B$2:$B$301=B237) * ($C$2:$C$301=C237) * ($D$2:$D$301=D237) * ($E$2:$E$301=E237) *
      ($F$2:$F$301=F237) * ($G$2:$G$301=G237) * ($H$2:$H$301=H237) * ($I$2:$I$301=I237) *
      ($J$2:$J$301=J237),0)),"yyyy-mm-dd"),
    "Perlu Klarifikasi"
  )
)</f>
        <v>2024-03-10</v>
      </c>
      <c r="L237" t="str" cm="1">
        <f t="array" ref="L237">IF(
  E237&lt;&gt;"Evening",
  E237,
  IFERROR(
    INDEX($E$2:$E$301, SMALL(
      IF(
        ($B$2:$B$301=B237) * ($C$2:$C$301=C237) * ($D$2:$D$301=D237) *
        ($F$2:$F$301=F237) * ($G$2:$G$301=G237) * ($H$2:$H$301=H237) * ($I$2:$I$301=I237) *
        ($J$2:$J$301=J237) * ($K$2:$K$301=K237) * ($E$2:$E$301&lt;&gt;"Evening"),
        ROW($E$2:$E$301)-ROW($E$2)+1,
        ""
      ),
    1)),
    "Night"
  )
)</f>
        <v>Night</v>
      </c>
    </row>
    <row r="238" spans="1:12" x14ac:dyDescent="0.3">
      <c r="A238" s="25" t="s">
        <v>73</v>
      </c>
      <c r="B238" t="s">
        <v>20</v>
      </c>
      <c r="C238" t="s">
        <v>25</v>
      </c>
      <c r="D238" t="s">
        <v>26</v>
      </c>
      <c r="E238" t="s">
        <v>23</v>
      </c>
      <c r="F238">
        <v>3975</v>
      </c>
      <c r="G238">
        <v>715</v>
      </c>
      <c r="H238">
        <v>5.37</v>
      </c>
      <c r="I238">
        <v>0.45</v>
      </c>
      <c r="J238">
        <v>4.92</v>
      </c>
      <c r="K238" s="25" t="str" cm="1">
        <f t="array" ref="K238">IF(
  ISNUMBER(DATEVALUE(A238)),
  TEXT(DATEVALUE(A238),"yyyy-mm-dd"),
  IFERROR(
    TEXT(INDEX($A$2:$A$301,MATCH(1,
      ($B$2:$B$301=B238) * ($C$2:$C$301=C238) * ($D$2:$D$301=D238) * ($E$2:$E$301=E238) *
      ($F$2:$F$301=F238) * ($G$2:$G$301=G238) * ($H$2:$H$301=H238) * ($I$2:$I$301=I238) *
      ($J$2:$J$301=J238),0)),"yyyy-mm-dd"),
    "Perlu Klarifikasi"
  )
)</f>
        <v>2024-03-10</v>
      </c>
      <c r="L238" t="str" cm="1">
        <f t="array" ref="L238">IF(
  E238&lt;&gt;"Evening",
  E238,
  IFERROR(
    INDEX($E$2:$E$301, SMALL(
      IF(
        ($B$2:$B$301=B238) * ($C$2:$C$301=C238) * ($D$2:$D$301=D238) *
        ($F$2:$F$301=F238) * ($G$2:$G$301=G238) * ($H$2:$H$301=H238) * ($I$2:$I$301=I238) *
        ($J$2:$J$301=J238) * ($K$2:$K$301=K238) * ($E$2:$E$301&lt;&gt;"Evening"),
        ROW($E$2:$E$301)-ROW($E$2)+1,
        ""
      ),
    1)),
    "Night"
  )
)</f>
        <v>Night</v>
      </c>
    </row>
    <row r="239" spans="1:12" x14ac:dyDescent="0.3">
      <c r="A239" s="25" t="s">
        <v>73</v>
      </c>
      <c r="B239" t="s">
        <v>29</v>
      </c>
      <c r="C239" t="s">
        <v>21</v>
      </c>
      <c r="D239" t="s">
        <v>22</v>
      </c>
      <c r="E239" t="s">
        <v>27</v>
      </c>
      <c r="F239">
        <v>8555</v>
      </c>
      <c r="G239">
        <v>4093</v>
      </c>
      <c r="H239">
        <v>8.85</v>
      </c>
      <c r="I239">
        <v>0.72</v>
      </c>
      <c r="J239">
        <v>8.1300000000000008</v>
      </c>
      <c r="K239" s="25" t="str" cm="1">
        <f t="array" ref="K239">IF(
  ISNUMBER(DATEVALUE(A239)),
  TEXT(DATEVALUE(A239),"yyyy-mm-dd"),
  IFERROR(
    TEXT(INDEX($A$2:$A$301,MATCH(1,
      ($B$2:$B$301=B239) * ($C$2:$C$301=C239) * ($D$2:$D$301=D239) * ($E$2:$E$301=E239) *
      ($F$2:$F$301=F239) * ($G$2:$G$301=G239) * ($H$2:$H$301=H239) * ($I$2:$I$301=I239) *
      ($J$2:$J$301=J239),0)),"yyyy-mm-dd"),
    "Perlu Klarifikasi"
  )
)</f>
        <v>2024-03-10</v>
      </c>
      <c r="L239" t="str" cm="1">
        <f t="array" ref="L239">IF(
  E239&lt;&gt;"Evening",
  E239,
  IFERROR(
    INDEX($E$2:$E$301, SMALL(
      IF(
        ($B$2:$B$301=B239) * ($C$2:$C$301=C239) * ($D$2:$D$301=D239) *
        ($F$2:$F$301=F239) * ($G$2:$G$301=G239) * ($H$2:$H$301=H239) * ($I$2:$I$301=I239) *
        ($J$2:$J$301=J239) * ($K$2:$K$301=K239) * ($E$2:$E$301&lt;&gt;"Evening"),
        ROW($E$2:$E$301)-ROW($E$2)+1,
        ""
      ),
    1)),
    "Night"
  )
)</f>
        <v>Day</v>
      </c>
    </row>
    <row r="240" spans="1:12" x14ac:dyDescent="0.3">
      <c r="A240" s="25" t="s">
        <v>73</v>
      </c>
      <c r="B240" t="s">
        <v>29</v>
      </c>
      <c r="C240" t="s">
        <v>21</v>
      </c>
      <c r="D240" t="s">
        <v>22</v>
      </c>
      <c r="E240" t="s">
        <v>27</v>
      </c>
      <c r="F240">
        <v>8555</v>
      </c>
      <c r="G240">
        <v>4093</v>
      </c>
      <c r="H240">
        <v>8.85</v>
      </c>
      <c r="I240">
        <v>0.72</v>
      </c>
      <c r="J240">
        <v>8.1300000000000008</v>
      </c>
      <c r="K240" s="25" t="str" cm="1">
        <f t="array" ref="K240">IF(
  ISNUMBER(DATEVALUE(A240)),
  TEXT(DATEVALUE(A240),"yyyy-mm-dd"),
  IFERROR(
    TEXT(INDEX($A$2:$A$301,MATCH(1,
      ($B$2:$B$301=B240) * ($C$2:$C$301=C240) * ($D$2:$D$301=D240) * ($E$2:$E$301=E240) *
      ($F$2:$F$301=F240) * ($G$2:$G$301=G240) * ($H$2:$H$301=H240) * ($I$2:$I$301=I240) *
      ($J$2:$J$301=J240),0)),"yyyy-mm-dd"),
    "Perlu Klarifikasi"
  )
)</f>
        <v>2024-03-10</v>
      </c>
      <c r="L240" t="str" cm="1">
        <f t="array" ref="L240">IF(
  E240&lt;&gt;"Evening",
  E240,
  IFERROR(
    INDEX($E$2:$E$301, SMALL(
      IF(
        ($B$2:$B$301=B240) * ($C$2:$C$301=C240) * ($D$2:$D$301=D240) *
        ($F$2:$F$301=F240) * ($G$2:$G$301=G240) * ($H$2:$H$301=H240) * ($I$2:$I$301=I240) *
        ($J$2:$J$301=J240) * ($K$2:$K$301=K240) * ($E$2:$E$301&lt;&gt;"Evening"),
        ROW($E$2:$E$301)-ROW($E$2)+1,
        ""
      ),
    1)),
    "Night"
  )
)</f>
        <v>Day</v>
      </c>
    </row>
    <row r="241" spans="1:12" x14ac:dyDescent="0.3">
      <c r="A241" s="25" t="s">
        <v>60</v>
      </c>
      <c r="B241" t="s">
        <v>20</v>
      </c>
      <c r="C241" t="s">
        <v>21</v>
      </c>
      <c r="D241" t="s">
        <v>26</v>
      </c>
      <c r="E241" t="s">
        <v>23</v>
      </c>
      <c r="F241">
        <v>4148</v>
      </c>
      <c r="G241">
        <v>611</v>
      </c>
      <c r="H241">
        <v>9.7200000000000006</v>
      </c>
      <c r="I241" s="22">
        <f>I242</f>
        <v>0.26</v>
      </c>
      <c r="J241">
        <v>9.4600000000000009</v>
      </c>
      <c r="K241" s="25" t="str" cm="1">
        <f t="array" ref="K241">IF(
  ISNUMBER(DATEVALUE(A241)),
  TEXT(DATEVALUE(A241),"yyyy-mm-dd"),
  IFERROR(
    TEXT(INDEX($A$2:$A$301,MATCH(1,
      ($B$2:$B$301=B241) * ($C$2:$C$301=C241) * ($D$2:$D$301=D241) * ($E$2:$E$301=E241) *
      ($F$2:$F$301=F241) * ($G$2:$G$301=G241) * ($H$2:$H$301=H241) * ($I$2:$I$301=I241) *
      ($J$2:$J$301=J241),0)),"yyyy-mm-dd"),
    "Perlu Klarifikasi"
  )
)</f>
        <v>2024-03-11</v>
      </c>
      <c r="L241" t="str" cm="1">
        <f t="array" ref="L241">IF(
  E241&lt;&gt;"Evening",
  E241,
  IFERROR(
    INDEX($E$2:$E$301, SMALL(
      IF(
        ($B$2:$B$301=B241) * ($C$2:$C$301=C241) * ($D$2:$D$301=D241) *
        ($F$2:$F$301=F241) * ($G$2:$G$301=G241) * ($H$2:$H$301=H241) * ($I$2:$I$301=I241) *
        ($J$2:$J$301=J241) * ($K$2:$K$301=K241) * ($E$2:$E$301&lt;&gt;"Evening"),
        ROW($E$2:$E$301)-ROW($E$2)+1,
        ""
      ),
    1)),
    "Night"
  )
)</f>
        <v>Night</v>
      </c>
    </row>
    <row r="242" spans="1:12" x14ac:dyDescent="0.3">
      <c r="A242" s="25" t="s">
        <v>60</v>
      </c>
      <c r="B242" t="s">
        <v>20</v>
      </c>
      <c r="C242" t="s">
        <v>21</v>
      </c>
      <c r="D242" t="s">
        <v>26</v>
      </c>
      <c r="E242" t="s">
        <v>23</v>
      </c>
      <c r="F242">
        <v>4148</v>
      </c>
      <c r="G242">
        <v>611</v>
      </c>
      <c r="H242">
        <v>9.7200000000000006</v>
      </c>
      <c r="I242">
        <v>0.26</v>
      </c>
      <c r="J242">
        <v>9.4600000000000009</v>
      </c>
      <c r="K242" s="25" t="str" cm="1">
        <f t="array" ref="K242">IF(
  ISNUMBER(DATEVALUE(A242)),
  TEXT(DATEVALUE(A242),"yyyy-mm-dd"),
  IFERROR(
    TEXT(INDEX($A$2:$A$301,MATCH(1,
      ($B$2:$B$301=B242) * ($C$2:$C$301=C242) * ($D$2:$D$301=D242) * ($E$2:$E$301=E242) *
      ($F$2:$F$301=F242) * ($G$2:$G$301=G242) * ($H$2:$H$301=H242) * ($I$2:$I$301=I242) *
      ($J$2:$J$301=J242),0)),"yyyy-mm-dd"),
    "Perlu Klarifikasi"
  )
)</f>
        <v>2024-03-11</v>
      </c>
      <c r="L242" t="str" cm="1">
        <f t="array" ref="L242">IF(
  E242&lt;&gt;"Evening",
  E242,
  IFERROR(
    INDEX($E$2:$E$301, SMALL(
      IF(
        ($B$2:$B$301=B242) * ($C$2:$C$301=C242) * ($D$2:$D$301=D242) *
        ($F$2:$F$301=F242) * ($G$2:$G$301=G242) * ($H$2:$H$301=H242) * ($I$2:$I$301=I242) *
        ($J$2:$J$301=J242) * ($K$2:$K$301=K242) * ($E$2:$E$301&lt;&gt;"Evening"),
        ROW($E$2:$E$301)-ROW($E$2)+1,
        ""
      ),
    1)),
    "Night"
  )
)</f>
        <v>Night</v>
      </c>
    </row>
    <row r="243" spans="1:12" x14ac:dyDescent="0.3">
      <c r="A243" s="25" t="s">
        <v>60</v>
      </c>
      <c r="B243" t="s">
        <v>20</v>
      </c>
      <c r="C243" t="s">
        <v>21</v>
      </c>
      <c r="D243" t="s">
        <v>31</v>
      </c>
      <c r="E243" t="s">
        <v>23</v>
      </c>
      <c r="F243">
        <v>1176</v>
      </c>
      <c r="G243">
        <v>2166</v>
      </c>
      <c r="H243">
        <v>6.88</v>
      </c>
      <c r="I243">
        <v>0.91</v>
      </c>
      <c r="J243">
        <v>5.97</v>
      </c>
      <c r="K243" s="25" t="str" cm="1">
        <f t="array" ref="K243">IF(
  ISNUMBER(DATEVALUE(A243)),
  TEXT(DATEVALUE(A243),"yyyy-mm-dd"),
  IFERROR(
    TEXT(INDEX($A$2:$A$301,MATCH(1,
      ($B$2:$B$301=B243) * ($C$2:$C$301=C243) * ($D$2:$D$301=D243) * ($E$2:$E$301=E243) *
      ($F$2:$F$301=F243) * ($G$2:$G$301=G243) * ($H$2:$H$301=H243) * ($I$2:$I$301=I243) *
      ($J$2:$J$301=J243),0)),"yyyy-mm-dd"),
    "Perlu Klarifikasi"
  )
)</f>
        <v>2024-03-11</v>
      </c>
      <c r="L243" t="str" cm="1">
        <f t="array" ref="L243">IF(
  E243&lt;&gt;"Evening",
  E243,
  IFERROR(
    INDEX($E$2:$E$301, SMALL(
      IF(
        ($B$2:$B$301=B243) * ($C$2:$C$301=C243) * ($D$2:$D$301=D243) *
        ($F$2:$F$301=F243) * ($G$2:$G$301=G243) * ($H$2:$H$301=H243) * ($I$2:$I$301=I243) *
        ($J$2:$J$301=J243) * ($K$2:$K$301=K243) * ($E$2:$E$301&lt;&gt;"Evening"),
        ROW($E$2:$E$301)-ROW($E$2)+1,
        ""
      ),
    1)),
    "Night"
  )
)</f>
        <v>Night</v>
      </c>
    </row>
    <row r="244" spans="1:12" x14ac:dyDescent="0.3">
      <c r="A244" s="25" t="s">
        <v>60</v>
      </c>
      <c r="B244" t="s">
        <v>34</v>
      </c>
      <c r="C244" t="s">
        <v>21</v>
      </c>
      <c r="D244" t="s">
        <v>26</v>
      </c>
      <c r="E244" t="s">
        <v>27</v>
      </c>
      <c r="F244">
        <v>7515</v>
      </c>
      <c r="G244">
        <v>6694</v>
      </c>
      <c r="H244">
        <v>9.9600000000000009</v>
      </c>
      <c r="I244">
        <v>0.57999999999999996</v>
      </c>
      <c r="J244">
        <v>9.3800000000000008</v>
      </c>
      <c r="K244" s="25" t="str" cm="1">
        <f t="array" ref="K244">IF(
  ISNUMBER(DATEVALUE(A244)),
  TEXT(DATEVALUE(A244),"yyyy-mm-dd"),
  IFERROR(
    TEXT(INDEX($A$2:$A$301,MATCH(1,
      ($B$2:$B$301=B244) * ($C$2:$C$301=C244) * ($D$2:$D$301=D244) * ($E$2:$E$301=E244) *
      ($F$2:$F$301=F244) * ($G$2:$G$301=G244) * ($H$2:$H$301=H244) * ($I$2:$I$301=I244) *
      ($J$2:$J$301=J244),0)),"yyyy-mm-dd"),
    "Perlu Klarifikasi"
  )
)</f>
        <v>2024-03-11</v>
      </c>
      <c r="L244" t="str" cm="1">
        <f t="array" ref="L244">IF(
  E244&lt;&gt;"Evening",
  E244,
  IFERROR(
    INDEX($E$2:$E$301, SMALL(
      IF(
        ($B$2:$B$301=B244) * ($C$2:$C$301=C244) * ($D$2:$D$301=D244) *
        ($F$2:$F$301=F244) * ($G$2:$G$301=G244) * ($H$2:$H$301=H244) * ($I$2:$I$301=I244) *
        ($J$2:$J$301=J244) * ($K$2:$K$301=K244) * ($E$2:$E$301&lt;&gt;"Evening"),
        ROW($E$2:$E$301)-ROW($E$2)+1,
        ""
      ),
    1)),
    "Night"
  )
)</f>
        <v>Day</v>
      </c>
    </row>
    <row r="245" spans="1:12" x14ac:dyDescent="0.3">
      <c r="A245" s="25" t="s">
        <v>60</v>
      </c>
      <c r="B245" t="s">
        <v>29</v>
      </c>
      <c r="C245" t="s">
        <v>25</v>
      </c>
      <c r="D245" t="s">
        <v>22</v>
      </c>
      <c r="E245" t="s">
        <v>27</v>
      </c>
      <c r="F245">
        <v>3022</v>
      </c>
      <c r="G245">
        <v>2413</v>
      </c>
      <c r="H245">
        <v>5.17</v>
      </c>
      <c r="I245">
        <v>0.24</v>
      </c>
      <c r="J245">
        <v>4.93</v>
      </c>
      <c r="K245" s="25" t="str" cm="1">
        <f t="array" ref="K245">IF(
  ISNUMBER(DATEVALUE(A245)),
  TEXT(DATEVALUE(A245),"yyyy-mm-dd"),
  IFERROR(
    TEXT(INDEX($A$2:$A$301,MATCH(1,
      ($B$2:$B$301=B245) * ($C$2:$C$301=C245) * ($D$2:$D$301=D245) * ($E$2:$E$301=E245) *
      ($F$2:$F$301=F245) * ($G$2:$G$301=G245) * ($H$2:$H$301=H245) * ($I$2:$I$301=I245) *
      ($J$2:$J$301=J245),0)),"yyyy-mm-dd"),
    "Perlu Klarifikasi"
  )
)</f>
        <v>2024-03-11</v>
      </c>
      <c r="L245" t="str" cm="1">
        <f t="array" ref="L245">IF(
  E245&lt;&gt;"Evening",
  E245,
  IFERROR(
    INDEX($E$2:$E$301, SMALL(
      IF(
        ($B$2:$B$301=B245) * ($C$2:$C$301=C245) * ($D$2:$D$301=D245) *
        ($F$2:$F$301=F245) * ($G$2:$G$301=G245) * ($H$2:$H$301=H245) * ($I$2:$I$301=I245) *
        ($J$2:$J$301=J245) * ($K$2:$K$301=K245) * ($E$2:$E$301&lt;&gt;"Evening"),
        ROW($E$2:$E$301)-ROW($E$2)+1,
        ""
      ),
    1)),
    "Night"
  )
)</f>
        <v>Day</v>
      </c>
    </row>
    <row r="246" spans="1:12" x14ac:dyDescent="0.3">
      <c r="A246" s="25" t="s">
        <v>101</v>
      </c>
      <c r="B246" t="s">
        <v>20</v>
      </c>
      <c r="C246" t="s">
        <v>21</v>
      </c>
      <c r="D246" t="s">
        <v>22</v>
      </c>
      <c r="E246" t="s">
        <v>27</v>
      </c>
      <c r="F246">
        <v>665</v>
      </c>
      <c r="G246">
        <v>1955</v>
      </c>
      <c r="H246">
        <v>4.79</v>
      </c>
      <c r="I246">
        <v>0.49</v>
      </c>
      <c r="J246">
        <v>4.3</v>
      </c>
      <c r="K246" s="25" t="str" cm="1">
        <f t="array" ref="K246">IF(
  ISNUMBER(DATEVALUE(A246)),
  TEXT(DATEVALUE(A246),"yyyy-mm-dd"),
  IFERROR(
    TEXT(INDEX($A$2:$A$301,MATCH(1,
      ($B$2:$B$301=B246) * ($C$2:$C$301=C246) * ($D$2:$D$301=D246) * ($E$2:$E$301=E246) *
      ($F$2:$F$301=F246) * ($G$2:$G$301=G246) * ($H$2:$H$301=H246) * ($I$2:$I$301=I246) *
      ($J$2:$J$301=J246),0)),"yyyy-mm-dd"),
    "Perlu Klarifikasi"
  )
)</f>
        <v>2024-03-12</v>
      </c>
      <c r="L246" t="str" cm="1">
        <f t="array" ref="L246">IF(
  E246&lt;&gt;"Evening",
  E246,
  IFERROR(
    INDEX($E$2:$E$301, SMALL(
      IF(
        ($B$2:$B$301=B246) * ($C$2:$C$301=C246) * ($D$2:$D$301=D246) *
        ($F$2:$F$301=F246) * ($G$2:$G$301=G246) * ($H$2:$H$301=H246) * ($I$2:$I$301=I246) *
        ($J$2:$J$301=J246) * ($K$2:$K$301=K246) * ($E$2:$E$301&lt;&gt;"Evening"),
        ROW($E$2:$E$301)-ROW($E$2)+1,
        ""
      ),
    1)),
    "Night"
  )
)</f>
        <v>Day</v>
      </c>
    </row>
    <row r="247" spans="1:12" x14ac:dyDescent="0.3">
      <c r="A247" s="26" t="s">
        <v>52</v>
      </c>
      <c r="B247" t="s">
        <v>29</v>
      </c>
      <c r="C247" t="s">
        <v>25</v>
      </c>
      <c r="D247" t="s">
        <v>22</v>
      </c>
      <c r="E247" t="s">
        <v>27</v>
      </c>
      <c r="F247">
        <v>2517</v>
      </c>
      <c r="G247">
        <v>2861</v>
      </c>
      <c r="H247">
        <v>8.2899999999999991</v>
      </c>
      <c r="I247">
        <v>1.98</v>
      </c>
      <c r="J247">
        <v>6.31</v>
      </c>
      <c r="K247" s="25" t="str" cm="1">
        <f t="array" ref="K247">TEXT(
  MEDIAN(
    IF(
      ($B$2:$B$301=B247) * ($C$2:$C$301=C247) * ($D$2:$D$301=D247) * ($E$2:$E$301=E247) * ISNUMBER(DATEVALUE($A$2:$A$301)),
      DATEVALUE($A$2:$A$301)
    )
  ),
  "yyyy-mm-dd"
)</f>
        <v>2024-03-12</v>
      </c>
      <c r="L247" t="str" cm="1">
        <f t="array" ref="L247">IF(
  E247&lt;&gt;"Evening",
  E247,
  IFERROR(
    INDEX($E$2:$E$301, SMALL(
      IF(
        ($B$2:$B$301=B247) * ($C$2:$C$301=C247) * ($D$2:$D$301=D247) *
        ($F$2:$F$301=F247) * ($G$2:$G$301=G247) * ($H$2:$H$301=H247) * ($I$2:$I$301=I247) *
        ($J$2:$J$301=J247) * ($K$2:$K$301=K247) * ($E$2:$E$301&lt;&gt;"Evening"),
        ROW($E$2:$E$301)-ROW($E$2)+1,
        ""
      ),
    1)),
    "Night"
  )
)</f>
        <v>Day</v>
      </c>
    </row>
    <row r="248" spans="1:12" x14ac:dyDescent="0.3">
      <c r="A248" s="25" t="s">
        <v>100</v>
      </c>
      <c r="B248" t="s">
        <v>29</v>
      </c>
      <c r="C248" t="s">
        <v>30</v>
      </c>
      <c r="D248" t="s">
        <v>22</v>
      </c>
      <c r="E248" t="s">
        <v>23</v>
      </c>
      <c r="F248">
        <v>8259</v>
      </c>
      <c r="G248">
        <v>4855</v>
      </c>
      <c r="H248">
        <v>4.7</v>
      </c>
      <c r="I248">
        <v>0.02</v>
      </c>
      <c r="J248">
        <v>4.68</v>
      </c>
      <c r="K248" s="25" t="str" cm="1">
        <f t="array" ref="K248">IF(
  ISNUMBER(DATEVALUE(A248)),
  TEXT(DATEVALUE(A248),"yyyy-mm-dd"),
  IFERROR(
    TEXT(INDEX($A$2:$A$301,MATCH(1,
      ($B$2:$B$301=B248) * ($C$2:$C$301=C248) * ($D$2:$D$301=D248) * ($E$2:$E$301=E248) *
      ($F$2:$F$301=F248) * ($G$2:$G$301=G248) * ($H$2:$H$301=H248) * ($I$2:$I$301=I248) *
      ($J$2:$J$301=J248),0)),"yyyy-mm-dd"),
    "Perlu Klarifikasi"
  )
)</f>
        <v>2024-03-13</v>
      </c>
      <c r="L248" t="str" cm="1">
        <f t="array" ref="L248">IF(
  E248&lt;&gt;"Evening",
  E248,
  IFERROR(
    INDEX($E$2:$E$301, SMALL(
      IF(
        ($B$2:$B$301=B248) * ($C$2:$C$301=C248) * ($D$2:$D$301=D248) *
        ($F$2:$F$301=F248) * ($G$2:$G$301=G248) * ($H$2:$H$301=H248) * ($I$2:$I$301=I248) *
        ($J$2:$J$301=J248) * ($K$2:$K$301=K248) * ($E$2:$E$301&lt;&gt;"Evening"),
        ROW($E$2:$E$301)-ROW($E$2)+1,
        ""
      ),
    1)),
    "Night"
  )
)</f>
        <v>Night</v>
      </c>
    </row>
    <row r="249" spans="1:12" x14ac:dyDescent="0.3">
      <c r="A249" s="25" t="s">
        <v>100</v>
      </c>
      <c r="B249" t="s">
        <v>29</v>
      </c>
      <c r="C249" t="s">
        <v>21</v>
      </c>
      <c r="D249" t="s">
        <v>22</v>
      </c>
      <c r="E249" t="s">
        <v>27</v>
      </c>
      <c r="F249">
        <v>8357</v>
      </c>
      <c r="G249">
        <v>5548</v>
      </c>
      <c r="H249">
        <v>7.02</v>
      </c>
      <c r="I249">
        <v>1</v>
      </c>
      <c r="J249">
        <v>6.02</v>
      </c>
      <c r="K249" s="25" t="str" cm="1">
        <f t="array" ref="K249">IF(
  ISNUMBER(DATEVALUE(A249)),
  TEXT(DATEVALUE(A249),"yyyy-mm-dd"),
  IFERROR(
    TEXT(INDEX($A$2:$A$301,MATCH(1,
      ($B$2:$B$301=B249) * ($C$2:$C$301=C249) * ($D$2:$D$301=D249) * ($E$2:$E$301=E249) *
      ($F$2:$F$301=F249) * ($G$2:$G$301=G249) * ($H$2:$H$301=H249) * ($I$2:$I$301=I249) *
      ($J$2:$J$301=J249),0)),"yyyy-mm-dd"),
    "Perlu Klarifikasi"
  )
)</f>
        <v>2024-03-13</v>
      </c>
      <c r="L249" t="str" cm="1">
        <f t="array" ref="L249">IF(
  E249&lt;&gt;"Evening",
  E249,
  IFERROR(
    INDEX($E$2:$E$301, SMALL(
      IF(
        ($B$2:$B$301=B249) * ($C$2:$C$301=C249) * ($D$2:$D$301=D249) *
        ($F$2:$F$301=F249) * ($G$2:$G$301=G249) * ($H$2:$H$301=H249) * ($I$2:$I$301=I249) *
        ($J$2:$J$301=J249) * ($K$2:$K$301=K249) * ($E$2:$E$301&lt;&gt;"Evening"),
        ROW($E$2:$E$301)-ROW($E$2)+1,
        ""
      ),
    1)),
    "Night"
  )
)</f>
        <v>Day</v>
      </c>
    </row>
    <row r="250" spans="1:12" x14ac:dyDescent="0.3">
      <c r="A250" s="25" t="s">
        <v>79</v>
      </c>
      <c r="B250" t="s">
        <v>29</v>
      </c>
      <c r="C250" t="s">
        <v>30</v>
      </c>
      <c r="D250" t="s">
        <v>22</v>
      </c>
      <c r="E250" t="s">
        <v>23</v>
      </c>
      <c r="F250">
        <v>8083</v>
      </c>
      <c r="G250">
        <v>3127</v>
      </c>
      <c r="H250">
        <v>9.2799999999999994</v>
      </c>
      <c r="I250">
        <v>1.96</v>
      </c>
      <c r="J250">
        <v>7.32</v>
      </c>
      <c r="K250" s="25" t="str" cm="1">
        <f t="array" ref="K250">IF(
  ISNUMBER(DATEVALUE(A250)),
  TEXT(DATEVALUE(A250),"yyyy-mm-dd"),
  IFERROR(
    TEXT(INDEX($A$2:$A$301,MATCH(1,
      ($B$2:$B$301=B250) * ($C$2:$C$301=C250) * ($D$2:$D$301=D250) * ($E$2:$E$301=E250) *
      ($F$2:$F$301=F250) * ($G$2:$G$301=G250) * ($H$2:$H$301=H250) * ($I$2:$I$301=I250) *
      ($J$2:$J$301=J250),0)),"yyyy-mm-dd"),
    "Perlu Klarifikasi"
  )
)</f>
        <v>2024-03-14</v>
      </c>
      <c r="L250" t="str" cm="1">
        <f t="array" ref="L250">IF(
  E250&lt;&gt;"Evening",
  E250,
  IFERROR(
    INDEX($E$2:$E$301, SMALL(
      IF(
        ($B$2:$B$301=B250) * ($C$2:$C$301=C250) * ($D$2:$D$301=D250) *
        ($F$2:$F$301=F250) * ($G$2:$G$301=G250) * ($H$2:$H$301=H250) * ($I$2:$I$301=I250) *
        ($J$2:$J$301=J250) * ($K$2:$K$301=K250) * ($E$2:$E$301&lt;&gt;"Evening"),
        ROW($E$2:$E$301)-ROW($E$2)+1,
        ""
      ),
    1)),
    "Night"
  )
)</f>
        <v>Night</v>
      </c>
    </row>
    <row r="251" spans="1:12" x14ac:dyDescent="0.3">
      <c r="A251" s="25" t="s">
        <v>79</v>
      </c>
      <c r="B251" t="s">
        <v>29</v>
      </c>
      <c r="C251" t="s">
        <v>25</v>
      </c>
      <c r="D251" t="s">
        <v>22</v>
      </c>
      <c r="E251" t="s">
        <v>27</v>
      </c>
      <c r="F251">
        <v>5632</v>
      </c>
      <c r="G251">
        <v>3558</v>
      </c>
      <c r="H251">
        <v>9.18</v>
      </c>
      <c r="I251">
        <v>1.72</v>
      </c>
      <c r="J251">
        <v>7.46</v>
      </c>
      <c r="K251" s="25" t="str" cm="1">
        <f t="array" ref="K251">IF(
  ISNUMBER(DATEVALUE(A251)),
  TEXT(DATEVALUE(A251),"yyyy-mm-dd"),
  IFERROR(
    TEXT(INDEX($A$2:$A$301,MATCH(1,
      ($B$2:$B$301=B251) * ($C$2:$C$301=C251) * ($D$2:$D$301=D251) * ($E$2:$E$301=E251) *
      ($F$2:$F$301=F251) * ($G$2:$G$301=G251) * ($H$2:$H$301=H251) * ($I$2:$I$301=I251) *
      ($J$2:$J$301=J251),0)),"yyyy-mm-dd"),
    "Perlu Klarifikasi"
  )
)</f>
        <v>2024-03-14</v>
      </c>
      <c r="L251" t="str" cm="1">
        <f t="array" ref="L251">IF(
  E251&lt;&gt;"Evening",
  E251,
  IFERROR(
    INDEX($E$2:$E$301, SMALL(
      IF(
        ($B$2:$B$301=B251) * ($C$2:$C$301=C251) * ($D$2:$D$301=D251) *
        ($F$2:$F$301=F251) * ($G$2:$G$301=G251) * ($H$2:$H$301=H251) * ($I$2:$I$301=I251) *
        ($J$2:$J$301=J251) * ($K$2:$K$301=K251) * ($E$2:$E$301&lt;&gt;"Evening"),
        ROW($E$2:$E$301)-ROW($E$2)+1,
        ""
      ),
    1)),
    "Night"
  )
)</f>
        <v>Day</v>
      </c>
    </row>
    <row r="252" spans="1:12" x14ac:dyDescent="0.3">
      <c r="A252" s="25" t="s">
        <v>79</v>
      </c>
      <c r="B252" s="22" t="str" cm="1">
        <f t="array" ref="B252">IF(
  Produksi!B238&lt;&gt;"",
  Produksi!B238,
  IFERROR(
    INDEX($B$2:$B$301, MATCH(1,
      ($C$2:$C$301=Produksi!C238) * ($D$2:$D$301=Produksi!D238) * ($E$2:$E$301=Produksi!E238) * ($F$2:$F$301=Produksi!F238),
      0)),
    "Perlu Klarifikasi")
)</f>
        <v>Pit C</v>
      </c>
      <c r="C252" t="s">
        <v>30</v>
      </c>
      <c r="D252" t="s">
        <v>22</v>
      </c>
      <c r="E252" t="s">
        <v>23</v>
      </c>
      <c r="F252">
        <v>8083</v>
      </c>
      <c r="G252">
        <v>3127</v>
      </c>
      <c r="H252">
        <v>9.2799999999999994</v>
      </c>
      <c r="I252">
        <v>1.96</v>
      </c>
      <c r="J252">
        <v>7.32</v>
      </c>
      <c r="K252" s="25" t="str" cm="1">
        <f t="array" ref="K252">IF(
  ISNUMBER(DATEVALUE(A252)),
  TEXT(DATEVALUE(A252),"yyyy-mm-dd"),
  IFERROR(
    TEXT(INDEX($A$2:$A$301,MATCH(1,
      ($B$2:$B$301=B252) * ($C$2:$C$301=C252) * ($D$2:$D$301=D252) * ($E$2:$E$301=E252) *
      ($F$2:$F$301=F252) * ($G$2:$G$301=G252) * ($H$2:$H$301=H252) * ($I$2:$I$301=I252) *
      ($J$2:$J$301=J252),0)),"yyyy-mm-dd"),
    "Perlu Klarifikasi"
  )
)</f>
        <v>2024-03-14</v>
      </c>
      <c r="L252" t="str" cm="1">
        <f t="array" ref="L252">IF(
  E252&lt;&gt;"Evening",
  E252,
  IFERROR(
    INDEX($E$2:$E$301, SMALL(
      IF(
        ($B$2:$B$301=B252) * ($C$2:$C$301=C252) * ($D$2:$D$301=D252) *
        ($F$2:$F$301=F252) * ($G$2:$G$301=G252) * ($H$2:$H$301=H252) * ($I$2:$I$301=I252) *
        ($J$2:$J$301=J252) * ($K$2:$K$301=K252) * ($E$2:$E$301&lt;&gt;"Evening"),
        ROW($E$2:$E$301)-ROW($E$2)+1,
        ""
      ),
    1)),
    "Night"
  )
)</f>
        <v>Night</v>
      </c>
    </row>
    <row r="253" spans="1:12" x14ac:dyDescent="0.3">
      <c r="A253" s="25" t="s">
        <v>79</v>
      </c>
      <c r="B253" t="s">
        <v>29</v>
      </c>
      <c r="C253" t="s">
        <v>25</v>
      </c>
      <c r="D253" t="s">
        <v>22</v>
      </c>
      <c r="E253" t="s">
        <v>27</v>
      </c>
      <c r="F253">
        <v>5632</v>
      </c>
      <c r="G253">
        <v>3558</v>
      </c>
      <c r="H253">
        <v>9.18</v>
      </c>
      <c r="I253">
        <v>1.72</v>
      </c>
      <c r="J253">
        <v>7.46</v>
      </c>
      <c r="K253" s="25" t="str" cm="1">
        <f t="array" ref="K253">IF(
  ISNUMBER(DATEVALUE(A253)),
  TEXT(DATEVALUE(A253),"yyyy-mm-dd"),
  IFERROR(
    TEXT(INDEX($A$2:$A$301,MATCH(1,
      ($B$2:$B$301=B253) * ($C$2:$C$301=C253) * ($D$2:$D$301=D253) * ($E$2:$E$301=E253) *
      ($F$2:$F$301=F253) * ($G$2:$G$301=G253) * ($H$2:$H$301=H253) * ($I$2:$I$301=I253) *
      ($J$2:$J$301=J253),0)),"yyyy-mm-dd"),
    "Perlu Klarifikasi"
  )
)</f>
        <v>2024-03-14</v>
      </c>
      <c r="L253" t="str" cm="1">
        <f t="array" ref="L253">IF(
  E253&lt;&gt;"Evening",
  E253,
  IFERROR(
    INDEX($E$2:$E$301, SMALL(
      IF(
        ($B$2:$B$301=B253) * ($C$2:$C$301=C253) * ($D$2:$D$301=D253) *
        ($F$2:$F$301=F253) * ($G$2:$G$301=G253) * ($H$2:$H$301=H253) * ($I$2:$I$301=I253) *
        ($J$2:$J$301=J253) * ($K$2:$K$301=K253) * ($E$2:$E$301&lt;&gt;"Evening"),
        ROW($E$2:$E$301)-ROW($E$2)+1,
        ""
      ),
    1)),
    "Night"
  )
)</f>
        <v>Day</v>
      </c>
    </row>
    <row r="254" spans="1:12" x14ac:dyDescent="0.3">
      <c r="A254" s="25" t="s">
        <v>37</v>
      </c>
      <c r="B254" t="s">
        <v>20</v>
      </c>
      <c r="C254" t="s">
        <v>30</v>
      </c>
      <c r="D254" t="s">
        <v>26</v>
      </c>
      <c r="E254" t="s">
        <v>27</v>
      </c>
      <c r="F254">
        <v>716</v>
      </c>
      <c r="G254">
        <v>3026</v>
      </c>
      <c r="H254">
        <v>9.6199999999999992</v>
      </c>
      <c r="I254">
        <v>0.9</v>
      </c>
      <c r="J254">
        <v>8.7200000000000006</v>
      </c>
      <c r="K254" s="25" t="str" cm="1">
        <f t="array" ref="K254">IF(
  ISNUMBER(DATEVALUE(A254)),
  TEXT(DATEVALUE(A254),"yyyy-mm-dd"),
  IFERROR(
    TEXT(INDEX($A$2:$A$301,MATCH(1,
      ($B$2:$B$301=B254) * ($C$2:$C$301=C254) * ($D$2:$D$301=D254) * ($E$2:$E$301=E254) *
      ($F$2:$F$301=F254) * ($G$2:$G$301=G254) * ($H$2:$H$301=H254) * ($I$2:$I$301=I254) *
      ($J$2:$J$301=J254),0)),"yyyy-mm-dd"),
    "Perlu Klarifikasi"
  )
)</f>
        <v>2024-03-16</v>
      </c>
      <c r="L254" t="str" cm="1">
        <f t="array" ref="L254">IF(
  E254&lt;&gt;"Evening",
  E254,
  IFERROR(
    INDEX($E$2:$E$301, SMALL(
      IF(
        ($B$2:$B$301=B254) * ($C$2:$C$301=C254) * ($D$2:$D$301=D254) *
        ($F$2:$F$301=F254) * ($G$2:$G$301=G254) * ($H$2:$H$301=H254) * ($I$2:$I$301=I254) *
        ($J$2:$J$301=J254) * ($K$2:$K$301=K254) * ($E$2:$E$301&lt;&gt;"Evening"),
        ROW($E$2:$E$301)-ROW($E$2)+1,
        ""
      ),
    1)),
    "Night"
  )
)</f>
        <v>Day</v>
      </c>
    </row>
    <row r="255" spans="1:12" x14ac:dyDescent="0.3">
      <c r="A255" s="25" t="s">
        <v>44</v>
      </c>
      <c r="B255" t="s">
        <v>20</v>
      </c>
      <c r="C255" t="s">
        <v>25</v>
      </c>
      <c r="D255" t="s">
        <v>26</v>
      </c>
      <c r="E255" t="s">
        <v>23</v>
      </c>
      <c r="F255">
        <v>6492</v>
      </c>
      <c r="G255">
        <v>3242</v>
      </c>
      <c r="H255">
        <v>9.83</v>
      </c>
      <c r="I255">
        <v>1.76</v>
      </c>
      <c r="J255">
        <v>8.07</v>
      </c>
      <c r="K255" s="25" t="str" cm="1">
        <f t="array" ref="K255">IF(
  ISNUMBER(DATEVALUE(A255)),
  TEXT(DATEVALUE(A255),"yyyy-mm-dd"),
  IFERROR(
    TEXT(INDEX($A$2:$A$301,MATCH(1,
      ($B$2:$B$301=B255) * ($C$2:$C$301=C255) * ($D$2:$D$301=D255) * ($E$2:$E$301=E255) *
      ($F$2:$F$301=F255) * ($G$2:$G$301=G255) * ($H$2:$H$301=H255) * ($I$2:$I$301=I255) *
      ($J$2:$J$301=J255),0)),"yyyy-mm-dd"),
    "Perlu Klarifikasi"
  )
)</f>
        <v>2024-03-17</v>
      </c>
      <c r="L255" t="str" cm="1">
        <f t="array" ref="L255">IF(
  E255&lt;&gt;"Evening",
  E255,
  IFERROR(
    INDEX($E$2:$E$301, SMALL(
      IF(
        ($B$2:$B$301=B255) * ($C$2:$C$301=C255) * ($D$2:$D$301=D255) *
        ($F$2:$F$301=F255) * ($G$2:$G$301=G255) * ($H$2:$H$301=H255) * ($I$2:$I$301=I255) *
        ($J$2:$J$301=J255) * ($K$2:$K$301=K255) * ($E$2:$E$301&lt;&gt;"Evening"),
        ROW($E$2:$E$301)-ROW($E$2)+1,
        ""
      ),
    1)),
    "Night"
  )
)</f>
        <v>Night</v>
      </c>
    </row>
    <row r="256" spans="1:12" x14ac:dyDescent="0.3">
      <c r="A256" s="25" t="s">
        <v>44</v>
      </c>
      <c r="B256" t="s">
        <v>20</v>
      </c>
      <c r="C256" t="s">
        <v>25</v>
      </c>
      <c r="D256" t="s">
        <v>26</v>
      </c>
      <c r="E256" t="s">
        <v>23</v>
      </c>
      <c r="F256">
        <v>6492</v>
      </c>
      <c r="G256">
        <v>3242</v>
      </c>
      <c r="H256">
        <v>9.83</v>
      </c>
      <c r="I256">
        <v>1.76</v>
      </c>
      <c r="J256">
        <v>8.07</v>
      </c>
      <c r="K256" s="25" t="str" cm="1">
        <f t="array" ref="K256">IF(
  ISNUMBER(DATEVALUE(A256)),
  TEXT(DATEVALUE(A256),"yyyy-mm-dd"),
  IFERROR(
    TEXT(INDEX($A$2:$A$301,MATCH(1,
      ($B$2:$B$301=B256) * ($C$2:$C$301=C256) * ($D$2:$D$301=D256) * ($E$2:$E$301=E256) *
      ($F$2:$F$301=F256) * ($G$2:$G$301=G256) * ($H$2:$H$301=H256) * ($I$2:$I$301=I256) *
      ($J$2:$J$301=J256),0)),"yyyy-mm-dd"),
    "Perlu Klarifikasi"
  )
)</f>
        <v>2024-03-17</v>
      </c>
      <c r="L256" t="str" cm="1">
        <f t="array" ref="L256">IF(
  E256&lt;&gt;"Evening",
  E256,
  IFERROR(
    INDEX($E$2:$E$301, SMALL(
      IF(
        ($B$2:$B$301=B256) * ($C$2:$C$301=C256) * ($D$2:$D$301=D256) *
        ($F$2:$F$301=F256) * ($G$2:$G$301=G256) * ($H$2:$H$301=H256) * ($I$2:$I$301=I256) *
        ($J$2:$J$301=J256) * ($K$2:$K$301=K256) * ($E$2:$E$301&lt;&gt;"Evening"),
        ROW($E$2:$E$301)-ROW($E$2)+1,
        ""
      ),
    1)),
    "Night"
  )
)</f>
        <v>Night</v>
      </c>
    </row>
    <row r="257" spans="1:12" x14ac:dyDescent="0.3">
      <c r="A257" s="25" t="s">
        <v>44</v>
      </c>
      <c r="B257" t="s">
        <v>20</v>
      </c>
      <c r="C257" t="s">
        <v>25</v>
      </c>
      <c r="D257" t="s">
        <v>26</v>
      </c>
      <c r="E257" t="s">
        <v>23</v>
      </c>
      <c r="F257">
        <v>6492</v>
      </c>
      <c r="G257">
        <v>3242</v>
      </c>
      <c r="H257">
        <v>9.83</v>
      </c>
      <c r="I257">
        <v>1.76</v>
      </c>
      <c r="J257">
        <v>8.07</v>
      </c>
      <c r="K257" s="25" t="str" cm="1">
        <f t="array" ref="K257">IF(
  ISNUMBER(DATEVALUE(A257)),
  TEXT(DATEVALUE(A257),"yyyy-mm-dd"),
  IFERROR(
    TEXT(INDEX($A$2:$A$301,MATCH(1,
      ($B$2:$B$301=B257) * ($C$2:$C$301=C257) * ($D$2:$D$301=D257) * ($E$2:$E$301=E257) *
      ($F$2:$F$301=F257) * ($G$2:$G$301=G257) * ($H$2:$H$301=H257) * ($I$2:$I$301=I257) *
      ($J$2:$J$301=J257),0)),"yyyy-mm-dd"),
    "Perlu Klarifikasi"
  )
)</f>
        <v>2024-03-17</v>
      </c>
      <c r="L257" t="str" cm="1">
        <f t="array" ref="L257">IF(
  E257&lt;&gt;"Evening",
  E257,
  IFERROR(
    INDEX($E$2:$E$301, SMALL(
      IF(
        ($B$2:$B$301=B257) * ($C$2:$C$301=C257) * ($D$2:$D$301=D257) *
        ($F$2:$F$301=F257) * ($G$2:$G$301=G257) * ($H$2:$H$301=H257) * ($I$2:$I$301=I257) *
        ($J$2:$J$301=J257) * ($K$2:$K$301=K257) * ($E$2:$E$301&lt;&gt;"Evening"),
        ROW($E$2:$E$301)-ROW($E$2)+1,
        ""
      ),
    1)),
    "Night"
  )
)</f>
        <v>Night</v>
      </c>
    </row>
    <row r="258" spans="1:12" x14ac:dyDescent="0.3">
      <c r="A258" s="25" t="s">
        <v>44</v>
      </c>
      <c r="B258" t="s">
        <v>29</v>
      </c>
      <c r="C258" t="s">
        <v>30</v>
      </c>
      <c r="D258" t="s">
        <v>26</v>
      </c>
      <c r="E258" t="s">
        <v>23</v>
      </c>
      <c r="F258">
        <v>7595</v>
      </c>
      <c r="G258">
        <v>6414</v>
      </c>
      <c r="H258">
        <v>6.28</v>
      </c>
      <c r="I258">
        <v>1.55</v>
      </c>
      <c r="J258">
        <v>4.7300000000000004</v>
      </c>
      <c r="K258" s="25" t="str" cm="1">
        <f t="array" ref="K258">IF(
  ISNUMBER(DATEVALUE(A258)),
  TEXT(DATEVALUE(A258),"yyyy-mm-dd"),
  IFERROR(
    TEXT(INDEX($A$2:$A$301,MATCH(1,
      ($B$2:$B$301=B258) * ($C$2:$C$301=C258) * ($D$2:$D$301=D258) * ($E$2:$E$301=E258) *
      ($F$2:$F$301=F258) * ($G$2:$G$301=G258) * ($H$2:$H$301=H258) * ($I$2:$I$301=I258) *
      ($J$2:$J$301=J258),0)),"yyyy-mm-dd"),
    "Perlu Klarifikasi"
  )
)</f>
        <v>2024-03-17</v>
      </c>
      <c r="L258" t="str" cm="1">
        <f t="array" ref="L258">IF(
  E258&lt;&gt;"Evening",
  E258,
  IFERROR(
    INDEX($E$2:$E$301, SMALL(
      IF(
        ($B$2:$B$301=B258) * ($C$2:$C$301=C258) * ($D$2:$D$301=D258) *
        ($F$2:$F$301=F258) * ($G$2:$G$301=G258) * ($H$2:$H$301=H258) * ($I$2:$I$301=I258) *
        ($J$2:$J$301=J258) * ($K$2:$K$301=K258) * ($E$2:$E$301&lt;&gt;"Evening"),
        ROW($E$2:$E$301)-ROW($E$2)+1,
        ""
      ),
    1)),
    "Night"
  )
)</f>
        <v>Night</v>
      </c>
    </row>
    <row r="259" spans="1:12" x14ac:dyDescent="0.3">
      <c r="A259" s="25" t="s">
        <v>44</v>
      </c>
      <c r="B259" t="s">
        <v>20</v>
      </c>
      <c r="C259" t="s">
        <v>25</v>
      </c>
      <c r="D259" t="s">
        <v>26</v>
      </c>
      <c r="E259" t="s">
        <v>23</v>
      </c>
      <c r="F259">
        <v>6492</v>
      </c>
      <c r="G259">
        <v>3242</v>
      </c>
      <c r="H259">
        <v>9.83</v>
      </c>
      <c r="I259">
        <v>1.76</v>
      </c>
      <c r="J259">
        <v>8.07</v>
      </c>
      <c r="K259" s="25" t="str" cm="1">
        <f t="array" ref="K259">IF(
  ISNUMBER(DATEVALUE(A259)),
  TEXT(DATEVALUE(A259),"yyyy-mm-dd"),
  IFERROR(
    TEXT(INDEX($A$2:$A$301,MATCH(1,
      ($B$2:$B$301=B259) * ($C$2:$C$301=C259) * ($D$2:$D$301=D259) * ($E$2:$E$301=E259) *
      ($F$2:$F$301=F259) * ($G$2:$G$301=G259) * ($H$2:$H$301=H259) * ($I$2:$I$301=I259) *
      ($J$2:$J$301=J259),0)),"yyyy-mm-dd"),
    "Perlu Klarifikasi"
  )
)</f>
        <v>2024-03-17</v>
      </c>
      <c r="L259" t="str" cm="1">
        <f t="array" ref="L259">IF(
  E259&lt;&gt;"Evening",
  E259,
  IFERROR(
    INDEX($E$2:$E$301, SMALL(
      IF(
        ($B$2:$B$301=B259) * ($C$2:$C$301=C259) * ($D$2:$D$301=D259) *
        ($F$2:$F$301=F259) * ($G$2:$G$301=G259) * ($H$2:$H$301=H259) * ($I$2:$I$301=I259) *
        ($J$2:$J$301=J259) * ($K$2:$K$301=K259) * ($E$2:$E$301&lt;&gt;"Evening"),
        ROW($E$2:$E$301)-ROW($E$2)+1,
        ""
      ),
    1)),
    "Night"
  )
)</f>
        <v>Night</v>
      </c>
    </row>
    <row r="260" spans="1:12" x14ac:dyDescent="0.3">
      <c r="A260" s="26" t="s">
        <v>52</v>
      </c>
      <c r="B260" t="s">
        <v>29</v>
      </c>
      <c r="C260" t="s">
        <v>30</v>
      </c>
      <c r="D260" t="s">
        <v>26</v>
      </c>
      <c r="E260" t="s">
        <v>23</v>
      </c>
      <c r="F260">
        <v>7595</v>
      </c>
      <c r="G260">
        <v>6414</v>
      </c>
      <c r="H260">
        <v>6.28</v>
      </c>
      <c r="I260">
        <v>1.55</v>
      </c>
      <c r="J260">
        <v>4.7300000000000004</v>
      </c>
      <c r="K260" s="25" t="str" cm="1">
        <f t="array" ref="K260">IF(
  ISNUMBER(DATEVALUE(A260)),
  TEXT(DATEVALUE(A260),"yyyy-mm-dd"),
  IFERROR(
    TEXT(INDEX($A$2:$A$301,MATCH(1,
      ($B$2:$B$301=B260) * ($C$2:$C$301=C260) * ($D$2:$D$301=D260) * ($E$2:$E$301=E260) *
      ($F$2:$F$301=F260) * ($G$2:$G$301=G260) * ($H$2:$H$301=H260) * ($I$2:$I$301=I260) *
      ($J$2:$J$301=J260),0)),"yyyy-mm-dd"),
    "Perlu Klarifikasi"
  )
)</f>
        <v>2024-03-17</v>
      </c>
      <c r="L260" t="str" cm="1">
        <f t="array" ref="L260">IF(
  E260&lt;&gt;"Evening",
  E260,
  IFERROR(
    INDEX($E$2:$E$301, SMALL(
      IF(
        ($B$2:$B$301=B260) * ($C$2:$C$301=C260) * ($D$2:$D$301=D260) *
        ($F$2:$F$301=F260) * ($G$2:$G$301=G260) * ($H$2:$H$301=H260) * ($I$2:$I$301=I260) *
        ($J$2:$J$301=J260) * ($K$2:$K$301=K260) * ($E$2:$E$301&lt;&gt;"Evening"),
        ROW($E$2:$E$301)-ROW($E$2)+1,
        ""
      ),
    1)),
    "Night"
  )
)</f>
        <v>Night</v>
      </c>
    </row>
    <row r="261" spans="1:12" x14ac:dyDescent="0.3">
      <c r="A261" s="25" t="s">
        <v>77</v>
      </c>
      <c r="B261" t="s">
        <v>20</v>
      </c>
      <c r="C261" t="s">
        <v>25</v>
      </c>
      <c r="D261" t="s">
        <v>22</v>
      </c>
      <c r="E261" t="s">
        <v>27</v>
      </c>
      <c r="F261">
        <v>5176</v>
      </c>
      <c r="G261">
        <v>1738</v>
      </c>
      <c r="H261">
        <v>4.4400000000000004</v>
      </c>
      <c r="I261">
        <v>1.3</v>
      </c>
      <c r="J261">
        <v>3.14</v>
      </c>
      <c r="K261" s="25" t="str" cm="1">
        <f t="array" ref="K261">IF(
  ISNUMBER(DATEVALUE(A261)),
  TEXT(DATEVALUE(A261),"yyyy-mm-dd"),
  IFERROR(
    TEXT(INDEX($A$2:$A$301,MATCH(1,
      ($B$2:$B$301=B261) * ($C$2:$C$301=C261) * ($D$2:$D$301=D261) * ($E$2:$E$301=E261) *
      ($F$2:$F$301=F261) * ($G$2:$G$301=G261) * ($H$2:$H$301=H261) * ($I$2:$I$301=I261) *
      ($J$2:$J$301=J261),0)),"yyyy-mm-dd"),
    "Perlu Klarifikasi"
  )
)</f>
        <v>2024-03-18</v>
      </c>
      <c r="L261" t="str" cm="1">
        <f t="array" ref="L261">IF(
  E261&lt;&gt;"Evening",
  E261,
  IFERROR(
    INDEX($E$2:$E$301, SMALL(
      IF(
        ($B$2:$B$301=B261) * ($C$2:$C$301=C261) * ($D$2:$D$301=D261) *
        ($F$2:$F$301=F261) * ($G$2:$G$301=G261) * ($H$2:$H$301=H261) * ($I$2:$I$301=I261) *
        ($J$2:$J$301=J261) * ($K$2:$K$301=K261) * ($E$2:$E$301&lt;&gt;"Evening"),
        ROW($E$2:$E$301)-ROW($E$2)+1,
        ""
      ),
    1)),
    "Night"
  )
)</f>
        <v>Day</v>
      </c>
    </row>
    <row r="262" spans="1:12" x14ac:dyDescent="0.3">
      <c r="A262" s="25" t="s">
        <v>77</v>
      </c>
      <c r="B262" t="s">
        <v>20</v>
      </c>
      <c r="C262" t="s">
        <v>25</v>
      </c>
      <c r="D262" t="s">
        <v>22</v>
      </c>
      <c r="E262" t="s">
        <v>27</v>
      </c>
      <c r="F262">
        <v>5176</v>
      </c>
      <c r="G262">
        <v>1738</v>
      </c>
      <c r="H262">
        <v>4.4400000000000004</v>
      </c>
      <c r="I262">
        <v>1.3</v>
      </c>
      <c r="J262">
        <v>3.14</v>
      </c>
      <c r="K262" s="25" t="str" cm="1">
        <f t="array" ref="K262">IF(
  ISNUMBER(DATEVALUE(A262)),
  TEXT(DATEVALUE(A262),"yyyy-mm-dd"),
  IFERROR(
    TEXT(INDEX($A$2:$A$301,MATCH(1,
      ($B$2:$B$301=B262) * ($C$2:$C$301=C262) * ($D$2:$D$301=D262) * ($E$2:$E$301=E262) *
      ($F$2:$F$301=F262) * ($G$2:$G$301=G262) * ($H$2:$H$301=H262) * ($I$2:$I$301=I262) *
      ($J$2:$J$301=J262),0)),"yyyy-mm-dd"),
    "Perlu Klarifikasi"
  )
)</f>
        <v>2024-03-18</v>
      </c>
      <c r="L262" t="str" cm="1">
        <f t="array" ref="L262">IF(
  E262&lt;&gt;"Evening",
  E262,
  IFERROR(
    INDEX($E$2:$E$301, SMALL(
      IF(
        ($B$2:$B$301=B262) * ($C$2:$C$301=C262) * ($D$2:$D$301=D262) *
        ($F$2:$F$301=F262) * ($G$2:$G$301=G262) * ($H$2:$H$301=H262) * ($I$2:$I$301=I262) *
        ($J$2:$J$301=J262) * ($K$2:$K$301=K262) * ($E$2:$E$301&lt;&gt;"Evening"),
        ROW($E$2:$E$301)-ROW($E$2)+1,
        ""
      ),
    1)),
    "Night"
  )
)</f>
        <v>Day</v>
      </c>
    </row>
    <row r="263" spans="1:12" x14ac:dyDescent="0.3">
      <c r="A263" s="25" t="s">
        <v>77</v>
      </c>
      <c r="B263" t="s">
        <v>20</v>
      </c>
      <c r="C263" t="s">
        <v>25</v>
      </c>
      <c r="D263" t="s">
        <v>22</v>
      </c>
      <c r="E263" t="s">
        <v>27</v>
      </c>
      <c r="F263">
        <v>5176</v>
      </c>
      <c r="G263">
        <v>1738</v>
      </c>
      <c r="H263">
        <v>4.4400000000000004</v>
      </c>
      <c r="I263">
        <v>1.3</v>
      </c>
      <c r="J263">
        <v>3.14</v>
      </c>
      <c r="K263" s="25" t="str" cm="1">
        <f t="array" ref="K263">IF(
  ISNUMBER(DATEVALUE(A263)),
  TEXT(DATEVALUE(A263),"yyyy-mm-dd"),
  IFERROR(
    TEXT(INDEX($A$2:$A$301,MATCH(1,
      ($B$2:$B$301=B263) * ($C$2:$C$301=C263) * ($D$2:$D$301=D263) * ($E$2:$E$301=E263) *
      ($F$2:$F$301=F263) * ($G$2:$G$301=G263) * ($H$2:$H$301=H263) * ($I$2:$I$301=I263) *
      ($J$2:$J$301=J263),0)),"yyyy-mm-dd"),
    "Perlu Klarifikasi"
  )
)</f>
        <v>2024-03-18</v>
      </c>
      <c r="L263" t="str" cm="1">
        <f t="array" ref="L263">IF(
  E263&lt;&gt;"Evening",
  E263,
  IFERROR(
    INDEX($E$2:$E$301, SMALL(
      IF(
        ($B$2:$B$301=B263) * ($C$2:$C$301=C263) * ($D$2:$D$301=D263) *
        ($F$2:$F$301=F263) * ($G$2:$G$301=G263) * ($H$2:$H$301=H263) * ($I$2:$I$301=I263) *
        ($J$2:$J$301=J263) * ($K$2:$K$301=K263) * ($E$2:$E$301&lt;&gt;"Evening"),
        ROW($E$2:$E$301)-ROW($E$2)+1,
        ""
      ),
    1)),
    "Night"
  )
)</f>
        <v>Day</v>
      </c>
    </row>
    <row r="264" spans="1:12" x14ac:dyDescent="0.3">
      <c r="A264" s="25" t="s">
        <v>98</v>
      </c>
      <c r="B264" t="s">
        <v>34</v>
      </c>
      <c r="C264" t="s">
        <v>30</v>
      </c>
      <c r="D264" t="s">
        <v>26</v>
      </c>
      <c r="E264" s="22" t="s">
        <v>32</v>
      </c>
      <c r="F264">
        <v>5957</v>
      </c>
      <c r="G264">
        <v>6422</v>
      </c>
      <c r="H264">
        <v>6.14</v>
      </c>
      <c r="I264">
        <v>0.99</v>
      </c>
      <c r="J264">
        <v>5.15</v>
      </c>
      <c r="K264" s="25" t="str" cm="1">
        <f t="array" ref="K264">IF(
  ISNUMBER(DATEVALUE(A264)),
  TEXT(DATEVALUE(A264),"yyyy-mm-dd"),
  IFERROR(
    TEXT(INDEX($A$2:$A$301,MATCH(1,
      ($B$2:$B$301=B264) * ($C$2:$C$301=C264) * ($D$2:$D$301=D264) * ($E$2:$E$301=E264) *
      ($F$2:$F$301=F264) * ($G$2:$G$301=G264) * ($H$2:$H$301=H264) * ($I$2:$I$301=I264) *
      ($J$2:$J$301=J264),0)),"yyyy-mm-dd"),
    "Perlu Klarifikasi"
  )
)</f>
        <v>2024-03-19</v>
      </c>
      <c r="L264" t="str" cm="1">
        <f t="array" ref="L264">IF(
  E264&lt;&gt;"Evening",
  E264,
  IFERROR(
    INDEX($E$2:$E$301, SMALL(
      IF(
        ($B$2:$B$301=B264) * ($C$2:$C$301=C264) * ($D$2:$D$301=D264) *
        ($F$2:$F$301=F264) * ($G$2:$G$301=G264) * ($H$2:$H$301=H264) * ($I$2:$I$301=I264) *
        ($J$2:$J$301=J264) * ($K$2:$K$301=K264) * ($E$2:$E$301&lt;&gt;"Evening"),
        ROW($E$2:$E$301)-ROW($E$2)+1,
        ""
      ),
    1)),
    "Night"
  )
)</f>
        <v>Night</v>
      </c>
    </row>
    <row r="265" spans="1:12" x14ac:dyDescent="0.3">
      <c r="A265" s="26" t="s">
        <v>52</v>
      </c>
      <c r="B265" t="s">
        <v>34</v>
      </c>
      <c r="C265" t="s">
        <v>21</v>
      </c>
      <c r="D265" t="s">
        <v>22</v>
      </c>
      <c r="E265" t="s">
        <v>27</v>
      </c>
      <c r="F265">
        <v>717</v>
      </c>
      <c r="G265">
        <v>852</v>
      </c>
      <c r="H265">
        <v>8.98</v>
      </c>
      <c r="I265">
        <v>1.24</v>
      </c>
      <c r="J265">
        <v>7.74</v>
      </c>
      <c r="K265" s="25" t="str" cm="1">
        <f t="array" ref="K265">TEXT(
  MEDIAN(
    IF(
      ($B$2:$B$301=B265) * ($C$2:$C$301=C265) * ($D$2:$D$301=D265) * ($E$2:$E$301=E265) * ISNUMBER(DATEVALUE($A$2:$A$301)),
      DATEVALUE($A$2:$A$301)
    )
  ),
  "yyyy-mm-dd"
)</f>
        <v>2024-03-20</v>
      </c>
      <c r="L265" t="str" cm="1">
        <f t="array" ref="L265">IF(
  E265&lt;&gt;"Evening",
  E265,
  IFERROR(
    INDEX($E$2:$E$301, SMALL(
      IF(
        ($B$2:$B$301=B265) * ($C$2:$C$301=C265) * ($D$2:$D$301=D265) *
        ($F$2:$F$301=F265) * ($G$2:$G$301=G265) * ($H$2:$H$301=H265) * ($I$2:$I$301=I265) *
        ($J$2:$J$301=J265) * ($K$2:$K$301=K265) * ($E$2:$E$301&lt;&gt;"Evening"),
        ROW($E$2:$E$301)-ROW($E$2)+1,
        ""
      ),
    1)),
    "Night"
  )
)</f>
        <v>Day</v>
      </c>
    </row>
    <row r="266" spans="1:12" x14ac:dyDescent="0.3">
      <c r="A266" s="26" t="s">
        <v>52</v>
      </c>
      <c r="B266" t="s">
        <v>34</v>
      </c>
      <c r="C266" t="s">
        <v>21</v>
      </c>
      <c r="D266" t="s">
        <v>22</v>
      </c>
      <c r="E266" t="s">
        <v>27</v>
      </c>
      <c r="F266">
        <v>717</v>
      </c>
      <c r="G266">
        <v>852</v>
      </c>
      <c r="H266">
        <v>8.98</v>
      </c>
      <c r="I266">
        <v>1.24</v>
      </c>
      <c r="J266">
        <v>7.74</v>
      </c>
      <c r="K266" s="25" t="str" cm="1">
        <f t="array" ref="K266">TEXT(
  MEDIAN(
    IF(
      ($B$2:$B$301=B266) * ($C$2:$C$301=C266) * ($D$2:$D$301=D266) * ($E$2:$E$301=E266) * ISNUMBER(DATEVALUE($A$2:$A$301)),
      DATEVALUE($A$2:$A$301)
    )
  ),
  "yyyy-mm-dd"
)</f>
        <v>2024-03-20</v>
      </c>
      <c r="L266" t="str" cm="1">
        <f t="array" ref="L266">IF(
  E266&lt;&gt;"Evening",
  E266,
  IFERROR(
    INDEX($E$2:$E$301, SMALL(
      IF(
        ($B$2:$B$301=B266) * ($C$2:$C$301=C266) * ($D$2:$D$301=D266) *
        ($F$2:$F$301=F266) * ($G$2:$G$301=G266) * ($H$2:$H$301=H266) * ($I$2:$I$301=I266) *
        ($J$2:$J$301=J266) * ($K$2:$K$301=K266) * ($E$2:$E$301&lt;&gt;"Evening"),
        ROW($E$2:$E$301)-ROW($E$2)+1,
        ""
      ),
    1)),
    "Night"
  )
)</f>
        <v>Day</v>
      </c>
    </row>
    <row r="267" spans="1:12" x14ac:dyDescent="0.3">
      <c r="A267" s="25" t="s">
        <v>99</v>
      </c>
      <c r="B267" t="s">
        <v>34</v>
      </c>
      <c r="C267" t="s">
        <v>21</v>
      </c>
      <c r="D267" t="s">
        <v>22</v>
      </c>
      <c r="E267" t="s">
        <v>27</v>
      </c>
      <c r="F267">
        <v>6914</v>
      </c>
      <c r="G267">
        <v>1103</v>
      </c>
      <c r="H267">
        <v>4.28</v>
      </c>
      <c r="I267">
        <v>0.13</v>
      </c>
      <c r="J267">
        <v>4.1500000000000004</v>
      </c>
      <c r="K267" s="25" t="str" cm="1">
        <f t="array" ref="K267">IF(
  ISNUMBER(DATEVALUE(A267)),
  TEXT(DATEVALUE(A267),"yyyy-mm-dd"),
  IFERROR(
    TEXT(INDEX($A$2:$A$301,MATCH(1,
      ($B$2:$B$301=B267) * ($C$2:$C$301=C267) * ($D$2:$D$301=D267) * ($E$2:$E$301=E267) *
      ($F$2:$F$301=F267) * ($G$2:$G$301=G267) * ($H$2:$H$301=H267) * ($I$2:$I$301=I267) *
      ($J$2:$J$301=J267),0)),"yyyy-mm-dd"),
    "Perlu Klarifikasi"
  )
)</f>
        <v>2024-03-20</v>
      </c>
      <c r="L267" t="str" cm="1">
        <f t="array" ref="L267">IF(
  E267&lt;&gt;"Evening",
  E267,
  IFERROR(
    INDEX($E$2:$E$301, SMALL(
      IF(
        ($B$2:$B$301=B267) * ($C$2:$C$301=C267) * ($D$2:$D$301=D267) *
        ($F$2:$F$301=F267) * ($G$2:$G$301=G267) * ($H$2:$H$301=H267) * ($I$2:$I$301=I267) *
        ($J$2:$J$301=J267) * ($K$2:$K$301=K267) * ($E$2:$E$301&lt;&gt;"Evening"),
        ROW($E$2:$E$301)-ROW($E$2)+1,
        ""
      ),
    1)),
    "Night"
  )
)</f>
        <v>Day</v>
      </c>
    </row>
    <row r="268" spans="1:12" x14ac:dyDescent="0.3">
      <c r="A268" s="25" t="s">
        <v>48</v>
      </c>
      <c r="B268" t="s">
        <v>29</v>
      </c>
      <c r="C268" t="s">
        <v>21</v>
      </c>
      <c r="D268" t="s">
        <v>22</v>
      </c>
      <c r="E268" t="s">
        <v>23</v>
      </c>
      <c r="F268">
        <v>1519</v>
      </c>
      <c r="G268">
        <v>4303</v>
      </c>
      <c r="H268">
        <v>4.2699999999999996</v>
      </c>
      <c r="I268">
        <v>1.55</v>
      </c>
      <c r="J268">
        <v>2.72</v>
      </c>
      <c r="K268" s="25" t="str" cm="1">
        <f t="array" ref="K268">IF(
  ISNUMBER(DATEVALUE(A268)),
  TEXT(DATEVALUE(A268),"yyyy-mm-dd"),
  IFERROR(
    TEXT(INDEX($A$2:$A$301,MATCH(1,
      ($B$2:$B$301=B268) * ($C$2:$C$301=C268) * ($D$2:$D$301=D268) * ($E$2:$E$301=E268) *
      ($F$2:$F$301=F268) * ($G$2:$G$301=G268) * ($H$2:$H$301=H268) * ($I$2:$I$301=I268) *
      ($J$2:$J$301=J268),0)),"yyyy-mm-dd"),
    "Perlu Klarifikasi"
  )
)</f>
        <v>2024-03-22</v>
      </c>
      <c r="L268" t="str" cm="1">
        <f t="array" ref="L268">IF(
  E268&lt;&gt;"Evening",
  E268,
  IFERROR(
    INDEX($E$2:$E$301, SMALL(
      IF(
        ($B$2:$B$301=B268) * ($C$2:$C$301=C268) * ($D$2:$D$301=D268) *
        ($F$2:$F$301=F268) * ($G$2:$G$301=G268) * ($H$2:$H$301=H268) * ($I$2:$I$301=I268) *
        ($J$2:$J$301=J268) * ($K$2:$K$301=K268) * ($E$2:$E$301&lt;&gt;"Evening"),
        ROW($E$2:$E$301)-ROW($E$2)+1,
        ""
      ),
    1)),
    "Night"
  )
)</f>
        <v>Night</v>
      </c>
    </row>
    <row r="269" spans="1:12" x14ac:dyDescent="0.3">
      <c r="A269" s="25" t="s">
        <v>48</v>
      </c>
      <c r="B269" t="s">
        <v>29</v>
      </c>
      <c r="C269" t="s">
        <v>21</v>
      </c>
      <c r="D269" t="s">
        <v>22</v>
      </c>
      <c r="E269" t="s">
        <v>23</v>
      </c>
      <c r="F269">
        <v>1519</v>
      </c>
      <c r="G269">
        <v>4303</v>
      </c>
      <c r="H269">
        <v>4.2699999999999996</v>
      </c>
      <c r="I269">
        <v>1.55</v>
      </c>
      <c r="J269">
        <v>2.72</v>
      </c>
      <c r="K269" s="25" t="str" cm="1">
        <f t="array" ref="K269">IF(
  ISNUMBER(DATEVALUE(A269)),
  TEXT(DATEVALUE(A269),"yyyy-mm-dd"),
  IFERROR(
    TEXT(INDEX($A$2:$A$301,MATCH(1,
      ($B$2:$B$301=B269) * ($C$2:$C$301=C269) * ($D$2:$D$301=D269) * ($E$2:$E$301=E269) *
      ($F$2:$F$301=F269) * ($G$2:$G$301=G269) * ($H$2:$H$301=H269) * ($I$2:$I$301=I269) *
      ($J$2:$J$301=J269),0)),"yyyy-mm-dd"),
    "Perlu Klarifikasi"
  )
)</f>
        <v>2024-03-22</v>
      </c>
      <c r="L269" t="str" cm="1">
        <f t="array" ref="L269">IF(
  E269&lt;&gt;"Evening",
  E269,
  IFERROR(
    INDEX($E$2:$E$301, SMALL(
      IF(
        ($B$2:$B$301=B269) * ($C$2:$C$301=C269) * ($D$2:$D$301=D269) *
        ($F$2:$F$301=F269) * ($G$2:$G$301=G269) * ($H$2:$H$301=H269) * ($I$2:$I$301=I269) *
        ($J$2:$J$301=J269) * ($K$2:$K$301=K269) * ($E$2:$E$301&lt;&gt;"Evening"),
        ROW($E$2:$E$301)-ROW($E$2)+1,
        ""
      ),
    1)),
    "Night"
  )
)</f>
        <v>Night</v>
      </c>
    </row>
    <row r="270" spans="1:12" x14ac:dyDescent="0.3">
      <c r="A270" s="25" t="s">
        <v>55</v>
      </c>
      <c r="B270" t="s">
        <v>34</v>
      </c>
      <c r="C270" t="s">
        <v>30</v>
      </c>
      <c r="D270" t="s">
        <v>22</v>
      </c>
      <c r="E270" t="s">
        <v>23</v>
      </c>
      <c r="F270">
        <v>2153</v>
      </c>
      <c r="G270">
        <v>3813</v>
      </c>
      <c r="H270">
        <v>7.1</v>
      </c>
      <c r="I270">
        <v>0.23</v>
      </c>
      <c r="J270">
        <v>6.87</v>
      </c>
      <c r="K270" s="25" t="str" cm="1">
        <f t="array" ref="K270">IF(
  ISNUMBER(DATEVALUE(A270)),
  TEXT(DATEVALUE(A270),"yyyy-mm-dd"),
  IFERROR(
    TEXT(INDEX($A$2:$A$301,MATCH(1,
      ($B$2:$B$301=B270) * ($C$2:$C$301=C270) * ($D$2:$D$301=D270) * ($E$2:$E$301=E270) *
      ($F$2:$F$301=F270) * ($G$2:$G$301=G270) * ($H$2:$H$301=H270) * ($I$2:$I$301=I270) *
      ($J$2:$J$301=J270),0)),"yyyy-mm-dd"),
    "Perlu Klarifikasi"
  )
)</f>
        <v>2024-03-23</v>
      </c>
      <c r="L270" t="str" cm="1">
        <f t="array" ref="L270">IF(
  E270&lt;&gt;"Evening",
  E270,
  IFERROR(
    INDEX($E$2:$E$301, SMALL(
      IF(
        ($B$2:$B$301=B270) * ($C$2:$C$301=C270) * ($D$2:$D$301=D270) *
        ($F$2:$F$301=F270) * ($G$2:$G$301=G270) * ($H$2:$H$301=H270) * ($I$2:$I$301=I270) *
        ($J$2:$J$301=J270) * ($K$2:$K$301=K270) * ($E$2:$E$301&lt;&gt;"Evening"),
        ROW($E$2:$E$301)-ROW($E$2)+1,
        ""
      ),
    1)),
    "Night"
  )
)</f>
        <v>Night</v>
      </c>
    </row>
    <row r="271" spans="1:12" x14ac:dyDescent="0.3">
      <c r="A271" s="25" t="s">
        <v>55</v>
      </c>
      <c r="B271" t="s">
        <v>34</v>
      </c>
      <c r="C271" t="s">
        <v>30</v>
      </c>
      <c r="D271" t="s">
        <v>22</v>
      </c>
      <c r="E271" t="s">
        <v>23</v>
      </c>
      <c r="F271">
        <v>2153</v>
      </c>
      <c r="G271">
        <v>3813</v>
      </c>
      <c r="H271">
        <v>7.1</v>
      </c>
      <c r="I271">
        <v>0.23</v>
      </c>
      <c r="J271">
        <v>6.87</v>
      </c>
      <c r="K271" s="25" t="str" cm="1">
        <f t="array" ref="K271">IF(
  ISNUMBER(DATEVALUE(A271)),
  TEXT(DATEVALUE(A271),"yyyy-mm-dd"),
  IFERROR(
    TEXT(INDEX($A$2:$A$301,MATCH(1,
      ($B$2:$B$301=B271) * ($C$2:$C$301=C271) * ($D$2:$D$301=D271) * ($E$2:$E$301=E271) *
      ($F$2:$F$301=F271) * ($G$2:$G$301=G271) * ($H$2:$H$301=H271) * ($I$2:$I$301=I271) *
      ($J$2:$J$301=J271),0)),"yyyy-mm-dd"),
    "Perlu Klarifikasi"
  )
)</f>
        <v>2024-03-23</v>
      </c>
      <c r="L271" t="str" cm="1">
        <f t="array" ref="L271">IF(
  E271&lt;&gt;"Evening",
  E271,
  IFERROR(
    INDEX($E$2:$E$301, SMALL(
      IF(
        ($B$2:$B$301=B271) * ($C$2:$C$301=C271) * ($D$2:$D$301=D271) *
        ($F$2:$F$301=F271) * ($G$2:$G$301=G271) * ($H$2:$H$301=H271) * ($I$2:$I$301=I271) *
        ($J$2:$J$301=J271) * ($K$2:$K$301=K271) * ($E$2:$E$301&lt;&gt;"Evening"),
        ROW($E$2:$E$301)-ROW($E$2)+1,
        ""
      ),
    1)),
    "Night"
  )
)</f>
        <v>Night</v>
      </c>
    </row>
    <row r="272" spans="1:12" x14ac:dyDescent="0.3">
      <c r="A272" s="25" t="s">
        <v>55</v>
      </c>
      <c r="B272" t="s">
        <v>34</v>
      </c>
      <c r="C272" t="s">
        <v>30</v>
      </c>
      <c r="D272" t="s">
        <v>22</v>
      </c>
      <c r="E272" t="s">
        <v>23</v>
      </c>
      <c r="F272">
        <v>2153</v>
      </c>
      <c r="G272">
        <v>3813</v>
      </c>
      <c r="H272">
        <v>7.1</v>
      </c>
      <c r="I272">
        <v>0.23</v>
      </c>
      <c r="J272">
        <v>6.87</v>
      </c>
      <c r="K272" s="25" t="str" cm="1">
        <f t="array" ref="K272">IF(
  ISNUMBER(DATEVALUE(A272)),
  TEXT(DATEVALUE(A272),"yyyy-mm-dd"),
  IFERROR(
    TEXT(INDEX($A$2:$A$301,MATCH(1,
      ($B$2:$B$301=B272) * ($C$2:$C$301=C272) * ($D$2:$D$301=D272) * ($E$2:$E$301=E272) *
      ($F$2:$F$301=F272) * ($G$2:$G$301=G272) * ($H$2:$H$301=H272) * ($I$2:$I$301=I272) *
      ($J$2:$J$301=J272),0)),"yyyy-mm-dd"),
    "Perlu Klarifikasi"
  )
)</f>
        <v>2024-03-23</v>
      </c>
      <c r="L272" t="str" cm="1">
        <f t="array" ref="L272">IF(
  E272&lt;&gt;"Evening",
  E272,
  IFERROR(
    INDEX($E$2:$E$301, SMALL(
      IF(
        ($B$2:$B$301=B272) * ($C$2:$C$301=C272) * ($D$2:$D$301=D272) *
        ($F$2:$F$301=F272) * ($G$2:$G$301=G272) * ($H$2:$H$301=H272) * ($I$2:$I$301=I272) *
        ($J$2:$J$301=J272) * ($K$2:$K$301=K272) * ($E$2:$E$301&lt;&gt;"Evening"),
        ROW($E$2:$E$301)-ROW($E$2)+1,
        ""
      ),
    1)),
    "Night"
  )
)</f>
        <v>Night</v>
      </c>
    </row>
    <row r="273" spans="1:12" x14ac:dyDescent="0.3">
      <c r="A273" s="25" t="s">
        <v>55</v>
      </c>
      <c r="B273" t="s">
        <v>29</v>
      </c>
      <c r="C273" t="s">
        <v>21</v>
      </c>
      <c r="D273" t="s">
        <v>31</v>
      </c>
      <c r="E273" t="s">
        <v>27</v>
      </c>
      <c r="F273">
        <v>2254</v>
      </c>
      <c r="G273">
        <v>4051</v>
      </c>
      <c r="H273">
        <v>4.03</v>
      </c>
      <c r="I273">
        <v>1.25</v>
      </c>
      <c r="J273">
        <v>2.78</v>
      </c>
      <c r="K273" s="25" t="str" cm="1">
        <f t="array" ref="K273">IF(
  ISNUMBER(DATEVALUE(A273)),
  TEXT(DATEVALUE(A273),"yyyy-mm-dd"),
  IFERROR(
    TEXT(INDEX($A$2:$A$301,MATCH(1,
      ($B$2:$B$301=B273) * ($C$2:$C$301=C273) * ($D$2:$D$301=D273) * ($E$2:$E$301=E273) *
      ($F$2:$F$301=F273) * ($G$2:$G$301=G273) * ($H$2:$H$301=H273) * ($I$2:$I$301=I273) *
      ($J$2:$J$301=J273),0)),"yyyy-mm-dd"),
    "Perlu Klarifikasi"
  )
)</f>
        <v>2024-03-23</v>
      </c>
      <c r="L273" t="str" cm="1">
        <f t="array" ref="L273">IF(
  E273&lt;&gt;"Evening",
  E273,
  IFERROR(
    INDEX($E$2:$E$301, SMALL(
      IF(
        ($B$2:$B$301=B273) * ($C$2:$C$301=C273) * ($D$2:$D$301=D273) *
        ($F$2:$F$301=F273) * ($G$2:$G$301=G273) * ($H$2:$H$301=H273) * ($I$2:$I$301=I273) *
        ($J$2:$J$301=J273) * ($K$2:$K$301=K273) * ($E$2:$E$301&lt;&gt;"Evening"),
        ROW($E$2:$E$301)-ROW($E$2)+1,
        ""
      ),
    1)),
    "Night"
  )
)</f>
        <v>Day</v>
      </c>
    </row>
    <row r="274" spans="1:12" x14ac:dyDescent="0.3">
      <c r="A274" s="25" t="s">
        <v>55</v>
      </c>
      <c r="B274" t="s">
        <v>29</v>
      </c>
      <c r="C274" t="s">
        <v>21</v>
      </c>
      <c r="D274" t="s">
        <v>31</v>
      </c>
      <c r="E274" t="s">
        <v>27</v>
      </c>
      <c r="F274">
        <v>2254</v>
      </c>
      <c r="G274">
        <v>4051</v>
      </c>
      <c r="H274">
        <v>4.03</v>
      </c>
      <c r="I274">
        <v>1.25</v>
      </c>
      <c r="J274">
        <v>2.78</v>
      </c>
      <c r="K274" s="25" t="str" cm="1">
        <f t="array" ref="K274">IF(
  ISNUMBER(DATEVALUE(A274)),
  TEXT(DATEVALUE(A274),"yyyy-mm-dd"),
  IFERROR(
    TEXT(INDEX($A$2:$A$301,MATCH(1,
      ($B$2:$B$301=B274) * ($C$2:$C$301=C274) * ($D$2:$D$301=D274) * ($E$2:$E$301=E274) *
      ($F$2:$F$301=F274) * ($G$2:$G$301=G274) * ($H$2:$H$301=H274) * ($I$2:$I$301=I274) *
      ($J$2:$J$301=J274),0)),"yyyy-mm-dd"),
    "Perlu Klarifikasi"
  )
)</f>
        <v>2024-03-23</v>
      </c>
      <c r="L274" t="str" cm="1">
        <f t="array" ref="L274">IF(
  E274&lt;&gt;"Evening",
  E274,
  IFERROR(
    INDEX($E$2:$E$301, SMALL(
      IF(
        ($B$2:$B$301=B274) * ($C$2:$C$301=C274) * ($D$2:$D$301=D274) *
        ($F$2:$F$301=F274) * ($G$2:$G$301=G274) * ($H$2:$H$301=H274) * ($I$2:$I$301=I274) *
        ($J$2:$J$301=J274) * ($K$2:$K$301=K274) * ($E$2:$E$301&lt;&gt;"Evening"),
        ROW($E$2:$E$301)-ROW($E$2)+1,
        ""
      ),
    1)),
    "Night"
  )
)</f>
        <v>Day</v>
      </c>
    </row>
    <row r="275" spans="1:12" x14ac:dyDescent="0.3">
      <c r="A275" s="25" t="s">
        <v>55</v>
      </c>
      <c r="B275" t="s">
        <v>20</v>
      </c>
      <c r="C275" t="s">
        <v>25</v>
      </c>
      <c r="D275" t="s">
        <v>22</v>
      </c>
      <c r="E275" t="s">
        <v>23</v>
      </c>
      <c r="F275">
        <v>5965</v>
      </c>
      <c r="G275">
        <v>2763</v>
      </c>
      <c r="H275">
        <v>5.42</v>
      </c>
      <c r="I275">
        <v>0.97</v>
      </c>
      <c r="J275">
        <v>4.45</v>
      </c>
      <c r="K275" s="25" t="str" cm="1">
        <f t="array" ref="K275">IF(
  ISNUMBER(DATEVALUE(A275)),
  TEXT(DATEVALUE(A275),"yyyy-mm-dd"),
  IFERROR(
    TEXT(INDEX($A$2:$A$301,MATCH(1,
      ($B$2:$B$301=B275) * ($C$2:$C$301=C275) * ($D$2:$D$301=D275) * ($E$2:$E$301=E275) *
      ($F$2:$F$301=F275) * ($G$2:$G$301=G275) * ($H$2:$H$301=H275) * ($I$2:$I$301=I275) *
      ($J$2:$J$301=J275),0)),"yyyy-mm-dd"),
    "Perlu Klarifikasi"
  )
)</f>
        <v>2024-03-23</v>
      </c>
      <c r="L275" t="str" cm="1">
        <f t="array" ref="L275">IF(
  E275&lt;&gt;"Evening",
  E275,
  IFERROR(
    INDEX($E$2:$E$301, SMALL(
      IF(
        ($B$2:$B$301=B275) * ($C$2:$C$301=C275) * ($D$2:$D$301=D275) *
        ($F$2:$F$301=F275) * ($G$2:$G$301=G275) * ($H$2:$H$301=H275) * ($I$2:$I$301=I275) *
        ($J$2:$J$301=J275) * ($K$2:$K$301=K275) * ($E$2:$E$301&lt;&gt;"Evening"),
        ROW($E$2:$E$301)-ROW($E$2)+1,
        ""
      ),
    1)),
    "Night"
  )
)</f>
        <v>Night</v>
      </c>
    </row>
    <row r="276" spans="1:12" x14ac:dyDescent="0.3">
      <c r="A276" s="25" t="s">
        <v>91</v>
      </c>
      <c r="B276" t="s">
        <v>34</v>
      </c>
      <c r="C276" t="s">
        <v>30</v>
      </c>
      <c r="D276" t="s">
        <v>22</v>
      </c>
      <c r="E276" t="s">
        <v>27</v>
      </c>
      <c r="F276">
        <v>2184</v>
      </c>
      <c r="G276">
        <v>5949</v>
      </c>
      <c r="H276">
        <v>4.46</v>
      </c>
      <c r="I276">
        <v>0.72</v>
      </c>
      <c r="J276">
        <v>3.74</v>
      </c>
      <c r="K276" s="25" t="str" cm="1">
        <f t="array" ref="K276">IF(
  ISNUMBER(DATEVALUE(A276)),
  TEXT(DATEVALUE(A276),"yyyy-mm-dd"),
  IFERROR(
    TEXT(INDEX($A$2:$A$301,MATCH(1,
      ($B$2:$B$301=B276) * ($C$2:$C$301=C276) * ($D$2:$D$301=D276) * ($E$2:$E$301=E276) *
      ($F$2:$F$301=F276) * ($G$2:$G$301=G276) * ($H$2:$H$301=H276) * ($I$2:$I$301=I276) *
      ($J$2:$J$301=J276),0)),"yyyy-mm-dd"),
    "Perlu Klarifikasi"
  )
)</f>
        <v>2024-03-24</v>
      </c>
      <c r="L276" t="str" cm="1">
        <f t="array" ref="L276">IF(
  E276&lt;&gt;"Evening",
  E276,
  IFERROR(
    INDEX($E$2:$E$301, SMALL(
      IF(
        ($B$2:$B$301=B276) * ($C$2:$C$301=C276) * ($D$2:$D$301=D276) *
        ($F$2:$F$301=F276) * ($G$2:$G$301=G276) * ($H$2:$H$301=H276) * ($I$2:$I$301=I276) *
        ($J$2:$J$301=J276) * ($K$2:$K$301=K276) * ($E$2:$E$301&lt;&gt;"Evening"),
        ROW($E$2:$E$301)-ROW($E$2)+1,
        ""
      ),
    1)),
    "Night"
  )
)</f>
        <v>Day</v>
      </c>
    </row>
    <row r="277" spans="1:12" x14ac:dyDescent="0.3">
      <c r="A277" s="25" t="s">
        <v>91</v>
      </c>
      <c r="B277" t="s">
        <v>34</v>
      </c>
      <c r="C277" t="s">
        <v>30</v>
      </c>
      <c r="D277" t="s">
        <v>22</v>
      </c>
      <c r="E277" t="s">
        <v>27</v>
      </c>
      <c r="F277">
        <v>2184</v>
      </c>
      <c r="G277">
        <v>5949</v>
      </c>
      <c r="H277">
        <v>4.46</v>
      </c>
      <c r="I277">
        <v>0.72</v>
      </c>
      <c r="J277">
        <v>3.74</v>
      </c>
      <c r="K277" s="25" t="str" cm="1">
        <f t="array" ref="K277">IF(
  ISNUMBER(DATEVALUE(A277)),
  TEXT(DATEVALUE(A277),"yyyy-mm-dd"),
  IFERROR(
    TEXT(INDEX($A$2:$A$301,MATCH(1,
      ($B$2:$B$301=B277) * ($C$2:$C$301=C277) * ($D$2:$D$301=D277) * ($E$2:$E$301=E277) *
      ($F$2:$F$301=F277) * ($G$2:$G$301=G277) * ($H$2:$H$301=H277) * ($I$2:$I$301=I277) *
      ($J$2:$J$301=J277),0)),"yyyy-mm-dd"),
    "Perlu Klarifikasi"
  )
)</f>
        <v>2024-03-24</v>
      </c>
      <c r="L277" t="str" cm="1">
        <f t="array" ref="L277">IF(
  E277&lt;&gt;"Evening",
  E277,
  IFERROR(
    INDEX($E$2:$E$301, SMALL(
      IF(
        ($B$2:$B$301=B277) * ($C$2:$C$301=C277) * ($D$2:$D$301=D277) *
        ($F$2:$F$301=F277) * ($G$2:$G$301=G277) * ($H$2:$H$301=H277) * ($I$2:$I$301=I277) *
        ($J$2:$J$301=J277) * ($K$2:$K$301=K277) * ($E$2:$E$301&lt;&gt;"Evening"),
        ROW($E$2:$E$301)-ROW($E$2)+1,
        ""
      ),
    1)),
    "Night"
  )
)</f>
        <v>Day</v>
      </c>
    </row>
    <row r="278" spans="1:12" x14ac:dyDescent="0.3">
      <c r="A278" s="25" t="s">
        <v>91</v>
      </c>
      <c r="B278" t="s">
        <v>20</v>
      </c>
      <c r="C278" t="s">
        <v>30</v>
      </c>
      <c r="D278" t="s">
        <v>31</v>
      </c>
      <c r="E278" t="s">
        <v>23</v>
      </c>
      <c r="F278">
        <v>7218</v>
      </c>
      <c r="G278">
        <v>2694</v>
      </c>
      <c r="H278">
        <v>6.13</v>
      </c>
      <c r="I278">
        <v>1.37</v>
      </c>
      <c r="J278">
        <v>4.76</v>
      </c>
      <c r="K278" s="25" t="str" cm="1">
        <f t="array" ref="K278">IF(
  ISNUMBER(DATEVALUE(A278)),
  TEXT(DATEVALUE(A278),"yyyy-mm-dd"),
  IFERROR(
    TEXT(INDEX($A$2:$A$301,MATCH(1,
      ($B$2:$B$301=B278) * ($C$2:$C$301=C278) * ($D$2:$D$301=D278) * ($E$2:$E$301=E278) *
      ($F$2:$F$301=F278) * ($G$2:$G$301=G278) * ($H$2:$H$301=H278) * ($I$2:$I$301=I278) *
      ($J$2:$J$301=J278),0)),"yyyy-mm-dd"),
    "Perlu Klarifikasi"
  )
)</f>
        <v>2024-03-24</v>
      </c>
      <c r="L278" t="str" cm="1">
        <f t="array" ref="L278">IF(
  E278&lt;&gt;"Evening",
  E278,
  IFERROR(
    INDEX($E$2:$E$301, SMALL(
      IF(
        ($B$2:$B$301=B278) * ($C$2:$C$301=C278) * ($D$2:$D$301=D278) *
        ($F$2:$F$301=F278) * ($G$2:$G$301=G278) * ($H$2:$H$301=H278) * ($I$2:$I$301=I278) *
        ($J$2:$J$301=J278) * ($K$2:$K$301=K278) * ($E$2:$E$301&lt;&gt;"Evening"),
        ROW($E$2:$E$301)-ROW($E$2)+1,
        ""
      ),
    1)),
    "Night"
  )
)</f>
        <v>Night</v>
      </c>
    </row>
    <row r="279" spans="1:12" x14ac:dyDescent="0.3">
      <c r="A279" s="25" t="s">
        <v>91</v>
      </c>
      <c r="B279" t="s">
        <v>20</v>
      </c>
      <c r="C279" t="s">
        <v>25</v>
      </c>
      <c r="D279" t="s">
        <v>26</v>
      </c>
      <c r="E279" t="s">
        <v>23</v>
      </c>
      <c r="F279">
        <v>4331</v>
      </c>
      <c r="G279">
        <v>5542</v>
      </c>
      <c r="H279">
        <v>5.32</v>
      </c>
      <c r="I279">
        <v>0.56000000000000005</v>
      </c>
      <c r="J279">
        <v>4.76</v>
      </c>
      <c r="K279" s="25" t="str" cm="1">
        <f t="array" ref="K279">IF(
  ISNUMBER(DATEVALUE(A279)),
  TEXT(DATEVALUE(A279),"yyyy-mm-dd"),
  IFERROR(
    TEXT(INDEX($A$2:$A$301,MATCH(1,
      ($B$2:$B$301=B279) * ($C$2:$C$301=C279) * ($D$2:$D$301=D279) * ($E$2:$E$301=E279) *
      ($F$2:$F$301=F279) * ($G$2:$G$301=G279) * ($H$2:$H$301=H279) * ($I$2:$I$301=I279) *
      ($J$2:$J$301=J279),0)),"yyyy-mm-dd"),
    "Perlu Klarifikasi"
  )
)</f>
        <v>2024-03-24</v>
      </c>
      <c r="L279" t="str" cm="1">
        <f t="array" ref="L279">IF(
  E279&lt;&gt;"Evening",
  E279,
  IFERROR(
    INDEX($E$2:$E$301, SMALL(
      IF(
        ($B$2:$B$301=B279) * ($C$2:$C$301=C279) * ($D$2:$D$301=D279) *
        ($F$2:$F$301=F279) * ($G$2:$G$301=G279) * ($H$2:$H$301=H279) * ($I$2:$I$301=I279) *
        ($J$2:$J$301=J279) * ($K$2:$K$301=K279) * ($E$2:$E$301&lt;&gt;"Evening"),
        ROW($E$2:$E$301)-ROW($E$2)+1,
        ""
      ),
    1)),
    "Night"
  )
)</f>
        <v>Night</v>
      </c>
    </row>
    <row r="280" spans="1:12" x14ac:dyDescent="0.3">
      <c r="A280" s="25" t="s">
        <v>69</v>
      </c>
      <c r="B280" t="s">
        <v>29</v>
      </c>
      <c r="C280" t="s">
        <v>30</v>
      </c>
      <c r="D280" t="s">
        <v>22</v>
      </c>
      <c r="E280" t="s">
        <v>27</v>
      </c>
      <c r="F280">
        <v>8445</v>
      </c>
      <c r="G280">
        <v>1911</v>
      </c>
      <c r="H280">
        <v>8.48</v>
      </c>
      <c r="I280">
        <v>0.5</v>
      </c>
      <c r="J280">
        <v>7.98</v>
      </c>
      <c r="K280" s="25" t="str" cm="1">
        <f t="array" ref="K280">IF(
  ISNUMBER(DATEVALUE(A280)),
  TEXT(DATEVALUE(A280),"yyyy-mm-dd"),
  IFERROR(
    TEXT(INDEX($A$2:$A$301,MATCH(1,
      ($B$2:$B$301=B280) * ($C$2:$C$301=C280) * ($D$2:$D$301=D280) * ($E$2:$E$301=E280) *
      ($F$2:$F$301=F280) * ($G$2:$G$301=G280) * ($H$2:$H$301=H280) * ($I$2:$I$301=I280) *
      ($J$2:$J$301=J280),0)),"yyyy-mm-dd"),
    "Perlu Klarifikasi"
  )
)</f>
        <v>2024-03-27</v>
      </c>
      <c r="L280" t="str" cm="1">
        <f t="array" ref="L280">IF(
  E280&lt;&gt;"Evening",
  E280,
  IFERROR(
    INDEX($E$2:$E$301, SMALL(
      IF(
        ($B$2:$B$301=B280) * ($C$2:$C$301=C280) * ($D$2:$D$301=D280) *
        ($F$2:$F$301=F280) * ($G$2:$G$301=G280) * ($H$2:$H$301=H280) * ($I$2:$I$301=I280) *
        ($J$2:$J$301=J280) * ($K$2:$K$301=K280) * ($E$2:$E$301&lt;&gt;"Evening"),
        ROW($E$2:$E$301)-ROW($E$2)+1,
        ""
      ),
    1)),
    "Night"
  )
)</f>
        <v>Day</v>
      </c>
    </row>
    <row r="281" spans="1:12" x14ac:dyDescent="0.3">
      <c r="A281" s="25" t="s">
        <v>69</v>
      </c>
      <c r="B281" t="s">
        <v>34</v>
      </c>
      <c r="C281" t="s">
        <v>21</v>
      </c>
      <c r="D281" t="s">
        <v>26</v>
      </c>
      <c r="E281" t="s">
        <v>27</v>
      </c>
      <c r="F281">
        <v>5428</v>
      </c>
      <c r="G281">
        <v>2019</v>
      </c>
      <c r="H281">
        <v>4.01</v>
      </c>
      <c r="I281">
        <v>0.55000000000000004</v>
      </c>
      <c r="J281">
        <v>3.46</v>
      </c>
      <c r="K281" s="25" t="str" cm="1">
        <f t="array" ref="K281">IF(
  ISNUMBER(DATEVALUE(A281)),
  TEXT(DATEVALUE(A281),"yyyy-mm-dd"),
  IFERROR(
    TEXT(INDEX($A$2:$A$301,MATCH(1,
      ($B$2:$B$301=B281) * ($C$2:$C$301=C281) * ($D$2:$D$301=D281) * ($E$2:$E$301=E281) *
      ($F$2:$F$301=F281) * ($G$2:$G$301=G281) * ($H$2:$H$301=H281) * ($I$2:$I$301=I281) *
      ($J$2:$J$301=J281),0)),"yyyy-mm-dd"),
    "Perlu Klarifikasi"
  )
)</f>
        <v>2024-03-27</v>
      </c>
      <c r="L281" t="str" cm="1">
        <f t="array" ref="L281">IF(
  E281&lt;&gt;"Evening",
  E281,
  IFERROR(
    INDEX($E$2:$E$301, SMALL(
      IF(
        ($B$2:$B$301=B281) * ($C$2:$C$301=C281) * ($D$2:$D$301=D281) *
        ($F$2:$F$301=F281) * ($G$2:$G$301=G281) * ($H$2:$H$301=H281) * ($I$2:$I$301=I281) *
        ($J$2:$J$301=J281) * ($K$2:$K$301=K281) * ($E$2:$E$301&lt;&gt;"Evening"),
        ROW($E$2:$E$301)-ROW($E$2)+1,
        ""
      ),
    1)),
    "Night"
  )
)</f>
        <v>Day</v>
      </c>
    </row>
    <row r="282" spans="1:12" x14ac:dyDescent="0.3">
      <c r="A282" s="25" t="s">
        <v>69</v>
      </c>
      <c r="B282" t="s">
        <v>34</v>
      </c>
      <c r="C282" t="s">
        <v>25</v>
      </c>
      <c r="D282" t="s">
        <v>31</v>
      </c>
      <c r="E282" t="s">
        <v>27</v>
      </c>
      <c r="F282">
        <v>8662</v>
      </c>
      <c r="G282">
        <v>3819</v>
      </c>
      <c r="H282">
        <v>8.57</v>
      </c>
      <c r="I282">
        <v>1.56</v>
      </c>
      <c r="J282">
        <v>7.01</v>
      </c>
      <c r="K282" s="25" t="str" cm="1">
        <f t="array" ref="K282">IF(
  ISNUMBER(DATEVALUE(A282)),
  TEXT(DATEVALUE(A282),"yyyy-mm-dd"),
  IFERROR(
    TEXT(INDEX($A$2:$A$301,MATCH(1,
      ($B$2:$B$301=B282) * ($C$2:$C$301=C282) * ($D$2:$D$301=D282) * ($E$2:$E$301=E282) *
      ($F$2:$F$301=F282) * ($G$2:$G$301=G282) * ($H$2:$H$301=H282) * ($I$2:$I$301=I282) *
      ($J$2:$J$301=J282),0)),"yyyy-mm-dd"),
    "Perlu Klarifikasi"
  )
)</f>
        <v>2024-03-27</v>
      </c>
      <c r="L282" t="str" cm="1">
        <f t="array" ref="L282">IF(
  E282&lt;&gt;"Evening",
  E282,
  IFERROR(
    INDEX($E$2:$E$301, SMALL(
      IF(
        ($B$2:$B$301=B282) * ($C$2:$C$301=C282) * ($D$2:$D$301=D282) *
        ($F$2:$F$301=F282) * ($G$2:$G$301=G282) * ($H$2:$H$301=H282) * ($I$2:$I$301=I282) *
        ($J$2:$J$301=J282) * ($K$2:$K$301=K282) * ($E$2:$E$301&lt;&gt;"Evening"),
        ROW($E$2:$E$301)-ROW($E$2)+1,
        ""
      ),
    1)),
    "Night"
  )
)</f>
        <v>Day</v>
      </c>
    </row>
    <row r="283" spans="1:12" x14ac:dyDescent="0.3">
      <c r="A283" s="25" t="s">
        <v>69</v>
      </c>
      <c r="B283" t="s">
        <v>34</v>
      </c>
      <c r="C283" t="s">
        <v>25</v>
      </c>
      <c r="D283" t="s">
        <v>31</v>
      </c>
      <c r="E283" t="s">
        <v>27</v>
      </c>
      <c r="F283">
        <v>8662</v>
      </c>
      <c r="G283">
        <v>3819</v>
      </c>
      <c r="H283">
        <v>8.57</v>
      </c>
      <c r="I283">
        <v>1.56</v>
      </c>
      <c r="J283">
        <v>7.01</v>
      </c>
      <c r="K283" s="25" t="str" cm="1">
        <f t="array" ref="K283">IF(
  ISNUMBER(DATEVALUE(A283)),
  TEXT(DATEVALUE(A283),"yyyy-mm-dd"),
  IFERROR(
    TEXT(INDEX($A$2:$A$301,MATCH(1,
      ($B$2:$B$301=B283) * ($C$2:$C$301=C283) * ($D$2:$D$301=D283) * ($E$2:$E$301=E283) *
      ($F$2:$F$301=F283) * ($G$2:$G$301=G283) * ($H$2:$H$301=H283) * ($I$2:$I$301=I283) *
      ($J$2:$J$301=J283),0)),"yyyy-mm-dd"),
    "Perlu Klarifikasi"
  )
)</f>
        <v>2024-03-27</v>
      </c>
      <c r="L283" t="str" cm="1">
        <f t="array" ref="L283">IF(
  E283&lt;&gt;"Evening",
  E283,
  IFERROR(
    INDEX($E$2:$E$301, SMALL(
      IF(
        ($B$2:$B$301=B283) * ($C$2:$C$301=C283) * ($D$2:$D$301=D283) *
        ($F$2:$F$301=F283) * ($G$2:$G$301=G283) * ($H$2:$H$301=H283) * ($I$2:$I$301=I283) *
        ($J$2:$J$301=J283) * ($K$2:$K$301=K283) * ($E$2:$E$301&lt;&gt;"Evening"),
        ROW($E$2:$E$301)-ROW($E$2)+1,
        ""
      ),
    1)),
    "Night"
  )
)</f>
        <v>Day</v>
      </c>
    </row>
    <row r="284" spans="1:12" x14ac:dyDescent="0.3">
      <c r="A284" s="25" t="s">
        <v>69</v>
      </c>
      <c r="B284" t="s">
        <v>29</v>
      </c>
      <c r="C284" t="s">
        <v>30</v>
      </c>
      <c r="D284" t="s">
        <v>22</v>
      </c>
      <c r="E284" t="s">
        <v>27</v>
      </c>
      <c r="F284">
        <v>8445</v>
      </c>
      <c r="G284">
        <v>1911</v>
      </c>
      <c r="H284">
        <v>8.48</v>
      </c>
      <c r="I284">
        <v>0.5</v>
      </c>
      <c r="J284">
        <v>7.98</v>
      </c>
      <c r="K284" s="25" t="str" cm="1">
        <f t="array" ref="K284">IF(
  ISNUMBER(DATEVALUE(A284)),
  TEXT(DATEVALUE(A284),"yyyy-mm-dd"),
  IFERROR(
    TEXT(INDEX($A$2:$A$301,MATCH(1,
      ($B$2:$B$301=B284) * ($C$2:$C$301=C284) * ($D$2:$D$301=D284) * ($E$2:$E$301=E284) *
      ($F$2:$F$301=F284) * ($G$2:$G$301=G284) * ($H$2:$H$301=H284) * ($I$2:$I$301=I284) *
      ($J$2:$J$301=J284),0)),"yyyy-mm-dd"),
    "Perlu Klarifikasi"
  )
)</f>
        <v>2024-03-27</v>
      </c>
      <c r="L284" t="str" cm="1">
        <f t="array" ref="L284">IF(
  E284&lt;&gt;"Evening",
  E284,
  IFERROR(
    INDEX($E$2:$E$301, SMALL(
      IF(
        ($B$2:$B$301=B284) * ($C$2:$C$301=C284) * ($D$2:$D$301=D284) *
        ($F$2:$F$301=F284) * ($G$2:$G$301=G284) * ($H$2:$H$301=H284) * ($I$2:$I$301=I284) *
        ($J$2:$J$301=J284) * ($K$2:$K$301=K284) * ($E$2:$E$301&lt;&gt;"Evening"),
        ROW($E$2:$E$301)-ROW($E$2)+1,
        ""
      ),
    1)),
    "Night"
  )
)</f>
        <v>Day</v>
      </c>
    </row>
    <row r="285" spans="1:12" x14ac:dyDescent="0.3">
      <c r="A285" s="25" t="s">
        <v>69</v>
      </c>
      <c r="B285" t="s">
        <v>34</v>
      </c>
      <c r="C285" t="s">
        <v>25</v>
      </c>
      <c r="D285" t="s">
        <v>31</v>
      </c>
      <c r="E285" t="s">
        <v>27</v>
      </c>
      <c r="F285">
        <v>8662</v>
      </c>
      <c r="G285">
        <v>3819</v>
      </c>
      <c r="H285">
        <v>8.57</v>
      </c>
      <c r="I285">
        <v>1.56</v>
      </c>
      <c r="J285">
        <v>7.01</v>
      </c>
      <c r="K285" s="25" t="str" cm="1">
        <f t="array" ref="K285">IF(
  ISNUMBER(DATEVALUE(A285)),
  TEXT(DATEVALUE(A285),"yyyy-mm-dd"),
  IFERROR(
    TEXT(INDEX($A$2:$A$301,MATCH(1,
      ($B$2:$B$301=B285) * ($C$2:$C$301=C285) * ($D$2:$D$301=D285) * ($E$2:$E$301=E285) *
      ($F$2:$F$301=F285) * ($G$2:$G$301=G285) * ($H$2:$H$301=H285) * ($I$2:$I$301=I285) *
      ($J$2:$J$301=J285),0)),"yyyy-mm-dd"),
    "Perlu Klarifikasi"
  )
)</f>
        <v>2024-03-27</v>
      </c>
      <c r="L285" t="str" cm="1">
        <f t="array" ref="L285">IF(
  E285&lt;&gt;"Evening",
  E285,
  IFERROR(
    INDEX($E$2:$E$301, SMALL(
      IF(
        ($B$2:$B$301=B285) * ($C$2:$C$301=C285) * ($D$2:$D$301=D285) *
        ($F$2:$F$301=F285) * ($G$2:$G$301=G285) * ($H$2:$H$301=H285) * ($I$2:$I$301=I285) *
        ($J$2:$J$301=J285) * ($K$2:$K$301=K285) * ($E$2:$E$301&lt;&gt;"Evening"),
        ROW($E$2:$E$301)-ROW($E$2)+1,
        ""
      ),
    1)),
    "Night"
  )
)</f>
        <v>Day</v>
      </c>
    </row>
    <row r="286" spans="1:12" x14ac:dyDescent="0.3">
      <c r="A286" s="25" t="s">
        <v>69</v>
      </c>
      <c r="B286" t="s">
        <v>34</v>
      </c>
      <c r="C286" t="s">
        <v>21</v>
      </c>
      <c r="D286" t="s">
        <v>26</v>
      </c>
      <c r="E286" t="s">
        <v>27</v>
      </c>
      <c r="F286">
        <v>5428</v>
      </c>
      <c r="G286">
        <v>2019</v>
      </c>
      <c r="H286">
        <v>4.01</v>
      </c>
      <c r="I286">
        <v>0.55000000000000004</v>
      </c>
      <c r="J286">
        <v>3.46</v>
      </c>
      <c r="K286" s="25" t="str" cm="1">
        <f t="array" ref="K286">IF(
  ISNUMBER(DATEVALUE(A286)),
  TEXT(DATEVALUE(A286),"yyyy-mm-dd"),
  IFERROR(
    TEXT(INDEX($A$2:$A$301,MATCH(1,
      ($B$2:$B$301=B286) * ($C$2:$C$301=C286) * ($D$2:$D$301=D286) * ($E$2:$E$301=E286) *
      ($F$2:$F$301=F286) * ($G$2:$G$301=G286) * ($H$2:$H$301=H286) * ($I$2:$I$301=I286) *
      ($J$2:$J$301=J286),0)),"yyyy-mm-dd"),
    "Perlu Klarifikasi"
  )
)</f>
        <v>2024-03-27</v>
      </c>
      <c r="L286" t="str" cm="1">
        <f t="array" ref="L286">IF(
  E286&lt;&gt;"Evening",
  E286,
  IFERROR(
    INDEX($E$2:$E$301, SMALL(
      IF(
        ($B$2:$B$301=B286) * ($C$2:$C$301=C286) * ($D$2:$D$301=D286) *
        ($F$2:$F$301=F286) * ($G$2:$G$301=G286) * ($H$2:$H$301=H286) * ($I$2:$I$301=I286) *
        ($J$2:$J$301=J286) * ($K$2:$K$301=K286) * ($E$2:$E$301&lt;&gt;"Evening"),
        ROW($E$2:$E$301)-ROW($E$2)+1,
        ""
      ),
    1)),
    "Night"
  )
)</f>
        <v>Day</v>
      </c>
    </row>
    <row r="287" spans="1:12" x14ac:dyDescent="0.3">
      <c r="A287" s="25" t="s">
        <v>69</v>
      </c>
      <c r="B287" t="s">
        <v>34</v>
      </c>
      <c r="C287" t="s">
        <v>25</v>
      </c>
      <c r="D287" t="s">
        <v>26</v>
      </c>
      <c r="E287" t="s">
        <v>27</v>
      </c>
      <c r="F287">
        <v>8967</v>
      </c>
      <c r="G287">
        <v>6387</v>
      </c>
      <c r="H287">
        <v>9.07</v>
      </c>
      <c r="I287">
        <v>0.27</v>
      </c>
      <c r="J287">
        <v>8.8000000000000007</v>
      </c>
      <c r="K287" s="25" t="str" cm="1">
        <f t="array" ref="K287">IF(
  ISNUMBER(DATEVALUE(A287)),
  TEXT(DATEVALUE(A287),"yyyy-mm-dd"),
  IFERROR(
    TEXT(INDEX($A$2:$A$301,MATCH(1,
      ($B$2:$B$301=B287) * ($C$2:$C$301=C287) * ($D$2:$D$301=D287) * ($E$2:$E$301=E287) *
      ($F$2:$F$301=F287) * ($G$2:$G$301=G287) * ($H$2:$H$301=H287) * ($I$2:$I$301=I287) *
      ($J$2:$J$301=J287),0)),"yyyy-mm-dd"),
    "Perlu Klarifikasi"
  )
)</f>
        <v>2024-03-27</v>
      </c>
      <c r="L287" t="str" cm="1">
        <f t="array" ref="L287">IF(
  E287&lt;&gt;"Evening",
  E287,
  IFERROR(
    INDEX($E$2:$E$301, SMALL(
      IF(
        ($B$2:$B$301=B287) * ($C$2:$C$301=C287) * ($D$2:$D$301=D287) *
        ($F$2:$F$301=F287) * ($G$2:$G$301=G287) * ($H$2:$H$301=H287) * ($I$2:$I$301=I287) *
        ($J$2:$J$301=J287) * ($K$2:$K$301=K287) * ($E$2:$E$301&lt;&gt;"Evening"),
        ROW($E$2:$E$301)-ROW($E$2)+1,
        ""
      ),
    1)),
    "Night"
  )
)</f>
        <v>Day</v>
      </c>
    </row>
    <row r="288" spans="1:12" x14ac:dyDescent="0.3">
      <c r="A288" s="25" t="s">
        <v>43</v>
      </c>
      <c r="B288" t="s">
        <v>34</v>
      </c>
      <c r="C288" t="s">
        <v>30</v>
      </c>
      <c r="D288" t="s">
        <v>26</v>
      </c>
      <c r="E288" t="s">
        <v>27</v>
      </c>
      <c r="F288">
        <v>8012</v>
      </c>
      <c r="G288">
        <v>4446</v>
      </c>
      <c r="H288">
        <v>5.23</v>
      </c>
      <c r="I288">
        <v>1.77</v>
      </c>
      <c r="J288">
        <v>3.46</v>
      </c>
      <c r="K288" s="25" t="str" cm="1">
        <f t="array" ref="K288">IF(
  ISNUMBER(DATEVALUE(A288)),
  TEXT(DATEVALUE(A288),"yyyy-mm-dd"),
  IFERROR(
    TEXT(INDEX($A$2:$A$301,MATCH(1,
      ($B$2:$B$301=B288) * ($C$2:$C$301=C288) * ($D$2:$D$301=D288) * ($E$2:$E$301=E288) *
      ($F$2:$F$301=F288) * ($G$2:$G$301=G288) * ($H$2:$H$301=H288) * ($I$2:$I$301=I288) *
      ($J$2:$J$301=J288),0)),"yyyy-mm-dd"),
    "Perlu Klarifikasi"
  )
)</f>
        <v>2024-03-28</v>
      </c>
      <c r="L288" t="str" cm="1">
        <f t="array" ref="L288">IF(
  E288&lt;&gt;"Evening",
  E288,
  IFERROR(
    INDEX($E$2:$E$301, SMALL(
      IF(
        ($B$2:$B$301=B288) * ($C$2:$C$301=C288) * ($D$2:$D$301=D288) *
        ($F$2:$F$301=F288) * ($G$2:$G$301=G288) * ($H$2:$H$301=H288) * ($I$2:$I$301=I288) *
        ($J$2:$J$301=J288) * ($K$2:$K$301=K288) * ($E$2:$E$301&lt;&gt;"Evening"),
        ROW($E$2:$E$301)-ROW($E$2)+1,
        ""
      ),
    1)),
    "Night"
  )
)</f>
        <v>Day</v>
      </c>
    </row>
    <row r="289" spans="1:12" x14ac:dyDescent="0.3">
      <c r="A289" s="25" t="s">
        <v>43</v>
      </c>
      <c r="B289" t="s">
        <v>34</v>
      </c>
      <c r="C289" t="s">
        <v>30</v>
      </c>
      <c r="D289" t="s">
        <v>26</v>
      </c>
      <c r="E289" t="s">
        <v>27</v>
      </c>
      <c r="F289">
        <v>8012</v>
      </c>
      <c r="G289">
        <v>4446</v>
      </c>
      <c r="H289">
        <v>5.23</v>
      </c>
      <c r="I289">
        <v>1.77</v>
      </c>
      <c r="J289">
        <v>3.46</v>
      </c>
      <c r="K289" s="25" t="str" cm="1">
        <f t="array" ref="K289">IF(
  ISNUMBER(DATEVALUE(A289)),
  TEXT(DATEVALUE(A289),"yyyy-mm-dd"),
  IFERROR(
    TEXT(INDEX($A$2:$A$301,MATCH(1,
      ($B$2:$B$301=B289) * ($C$2:$C$301=C289) * ($D$2:$D$301=D289) * ($E$2:$E$301=E289) *
      ($F$2:$F$301=F289) * ($G$2:$G$301=G289) * ($H$2:$H$301=H289) * ($I$2:$I$301=I289) *
      ($J$2:$J$301=J289),0)),"yyyy-mm-dd"),
    "Perlu Klarifikasi"
  )
)</f>
        <v>2024-03-28</v>
      </c>
      <c r="L289" t="str" cm="1">
        <f t="array" ref="L289">IF(
  E289&lt;&gt;"Evening",
  E289,
  IFERROR(
    INDEX($E$2:$E$301, SMALL(
      IF(
        ($B$2:$B$301=B289) * ($C$2:$C$301=C289) * ($D$2:$D$301=D289) *
        ($F$2:$F$301=F289) * ($G$2:$G$301=G289) * ($H$2:$H$301=H289) * ($I$2:$I$301=I289) *
        ($J$2:$J$301=J289) * ($K$2:$K$301=K289) * ($E$2:$E$301&lt;&gt;"Evening"),
        ROW($E$2:$E$301)-ROW($E$2)+1,
        ""
      ),
    1)),
    "Night"
  )
)</f>
        <v>Day</v>
      </c>
    </row>
    <row r="290" spans="1:12" x14ac:dyDescent="0.3">
      <c r="A290" s="25" t="s">
        <v>89</v>
      </c>
      <c r="B290" t="s">
        <v>29</v>
      </c>
      <c r="C290" t="s">
        <v>21</v>
      </c>
      <c r="D290" t="s">
        <v>26</v>
      </c>
      <c r="E290" t="s">
        <v>23</v>
      </c>
      <c r="F290">
        <v>6156</v>
      </c>
      <c r="G290">
        <v>621</v>
      </c>
      <c r="H290">
        <v>9.0399999999999991</v>
      </c>
      <c r="I290">
        <v>0.55000000000000004</v>
      </c>
      <c r="J290">
        <v>8.49</v>
      </c>
      <c r="K290" s="25" t="str" cm="1">
        <f t="array" ref="K290">IF(
  ISNUMBER(DATEVALUE(A290)),
  TEXT(DATEVALUE(A290),"yyyy-mm-dd"),
  IFERROR(
    TEXT(INDEX($A$2:$A$301,MATCH(1,
      ($B$2:$B$301=B290) * ($C$2:$C$301=C290) * ($D$2:$D$301=D290) * ($E$2:$E$301=E290) *
      ($F$2:$F$301=F290) * ($G$2:$G$301=G290) * ($H$2:$H$301=H290) * ($I$2:$I$301=I290) *
      ($J$2:$J$301=J290),0)),"yyyy-mm-dd"),
    "Perlu Klarifikasi"
  )
)</f>
        <v>2024-03-29</v>
      </c>
      <c r="L290" t="str" cm="1">
        <f t="array" ref="L290">IF(
  E290&lt;&gt;"Evening",
  E290,
  IFERROR(
    INDEX($E$2:$E$301, SMALL(
      IF(
        ($B$2:$B$301=B290) * ($C$2:$C$301=C290) * ($D$2:$D$301=D290) *
        ($F$2:$F$301=F290) * ($G$2:$G$301=G290) * ($H$2:$H$301=H290) * ($I$2:$I$301=I290) *
        ($J$2:$J$301=J290) * ($K$2:$K$301=K290) * ($E$2:$E$301&lt;&gt;"Evening"),
        ROW($E$2:$E$301)-ROW($E$2)+1,
        ""
      ),
    1)),
    "Night"
  )
)</f>
        <v>Night</v>
      </c>
    </row>
    <row r="291" spans="1:12" x14ac:dyDescent="0.3">
      <c r="A291" s="25" t="s">
        <v>89</v>
      </c>
      <c r="B291" t="s">
        <v>29</v>
      </c>
      <c r="C291" t="s">
        <v>21</v>
      </c>
      <c r="D291" t="s">
        <v>26</v>
      </c>
      <c r="E291" t="s">
        <v>23</v>
      </c>
      <c r="F291">
        <v>6156</v>
      </c>
      <c r="G291">
        <v>621</v>
      </c>
      <c r="H291">
        <v>9.0399999999999991</v>
      </c>
      <c r="I291">
        <v>0.55000000000000004</v>
      </c>
      <c r="J291">
        <v>8.49</v>
      </c>
      <c r="K291" s="25" t="str" cm="1">
        <f t="array" ref="K291">IF(
  ISNUMBER(DATEVALUE(A291)),
  TEXT(DATEVALUE(A291),"yyyy-mm-dd"),
  IFERROR(
    TEXT(INDEX($A$2:$A$301,MATCH(1,
      ($B$2:$B$301=B291) * ($C$2:$C$301=C291) * ($D$2:$D$301=D291) * ($E$2:$E$301=E291) *
      ($F$2:$F$301=F291) * ($G$2:$G$301=G291) * ($H$2:$H$301=H291) * ($I$2:$I$301=I291) *
      ($J$2:$J$301=J291),0)),"yyyy-mm-dd"),
    "Perlu Klarifikasi"
  )
)</f>
        <v>2024-03-29</v>
      </c>
      <c r="L291" t="str" cm="1">
        <f t="array" ref="L291">IF(
  E291&lt;&gt;"Evening",
  E291,
  IFERROR(
    INDEX($E$2:$E$301, SMALL(
      IF(
        ($B$2:$B$301=B291) * ($C$2:$C$301=C291) * ($D$2:$D$301=D291) *
        ($F$2:$F$301=F291) * ($G$2:$G$301=G291) * ($H$2:$H$301=H291) * ($I$2:$I$301=I291) *
        ($J$2:$J$301=J291) * ($K$2:$K$301=K291) * ($E$2:$E$301&lt;&gt;"Evening"),
        ROW($E$2:$E$301)-ROW($E$2)+1,
        ""
      ),
    1)),
    "Night"
  )
)</f>
        <v>Night</v>
      </c>
    </row>
    <row r="292" spans="1:12" x14ac:dyDescent="0.3">
      <c r="A292" s="25" t="s">
        <v>89</v>
      </c>
      <c r="B292" t="s">
        <v>29</v>
      </c>
      <c r="C292" t="s">
        <v>21</v>
      </c>
      <c r="D292" t="s">
        <v>26</v>
      </c>
      <c r="E292" t="s">
        <v>23</v>
      </c>
      <c r="F292">
        <v>6156</v>
      </c>
      <c r="G292">
        <v>621</v>
      </c>
      <c r="H292">
        <v>9.0399999999999991</v>
      </c>
      <c r="I292">
        <v>0.55000000000000004</v>
      </c>
      <c r="J292">
        <v>8.49</v>
      </c>
      <c r="K292" s="25" t="str" cm="1">
        <f t="array" ref="K292">IF(
  ISNUMBER(DATEVALUE(A292)),
  TEXT(DATEVALUE(A292),"yyyy-mm-dd"),
  IFERROR(
    TEXT(INDEX($A$2:$A$301,MATCH(1,
      ($B$2:$B$301=B292) * ($C$2:$C$301=C292) * ($D$2:$D$301=D292) * ($E$2:$E$301=E292) *
      ($F$2:$F$301=F292) * ($G$2:$G$301=G292) * ($H$2:$H$301=H292) * ($I$2:$I$301=I292) *
      ($J$2:$J$301=J292),0)),"yyyy-mm-dd"),
    "Perlu Klarifikasi"
  )
)</f>
        <v>2024-03-29</v>
      </c>
      <c r="L292" t="str" cm="1">
        <f t="array" ref="L292">IF(
  E292&lt;&gt;"Evening",
  E292,
  IFERROR(
    INDEX($E$2:$E$301, SMALL(
      IF(
        ($B$2:$B$301=B292) * ($C$2:$C$301=C292) * ($D$2:$D$301=D292) *
        ($F$2:$F$301=F292) * ($G$2:$G$301=G292) * ($H$2:$H$301=H292) * ($I$2:$I$301=I292) *
        ($J$2:$J$301=J292) * ($K$2:$K$301=K292) * ($E$2:$E$301&lt;&gt;"Evening"),
        ROW($E$2:$E$301)-ROW($E$2)+1,
        ""
      ),
    1)),
    "Night"
  )
)</f>
        <v>Night</v>
      </c>
    </row>
    <row r="293" spans="1:12" x14ac:dyDescent="0.3">
      <c r="A293" s="25" t="s">
        <v>89</v>
      </c>
      <c r="B293" t="s">
        <v>29</v>
      </c>
      <c r="C293" t="s">
        <v>21</v>
      </c>
      <c r="D293" t="s">
        <v>26</v>
      </c>
      <c r="E293" t="s">
        <v>23</v>
      </c>
      <c r="F293">
        <v>6156</v>
      </c>
      <c r="G293">
        <v>621</v>
      </c>
      <c r="H293">
        <v>9.0399999999999991</v>
      </c>
      <c r="I293">
        <v>0.55000000000000004</v>
      </c>
      <c r="J293">
        <v>8.49</v>
      </c>
      <c r="K293" s="25" t="str" cm="1">
        <f t="array" ref="K293">IF(
  ISNUMBER(DATEVALUE(A293)),
  TEXT(DATEVALUE(A293),"yyyy-mm-dd"),
  IFERROR(
    TEXT(INDEX($A$2:$A$301,MATCH(1,
      ($B$2:$B$301=B293) * ($C$2:$C$301=C293) * ($D$2:$D$301=D293) * ($E$2:$E$301=E293) *
      ($F$2:$F$301=F293) * ($G$2:$G$301=G293) * ($H$2:$H$301=H293) * ($I$2:$I$301=I293) *
      ($J$2:$J$301=J293),0)),"yyyy-mm-dd"),
    "Perlu Klarifikasi"
  )
)</f>
        <v>2024-03-29</v>
      </c>
      <c r="L293" t="str" cm="1">
        <f t="array" ref="L293">IF(
  E293&lt;&gt;"Evening",
  E293,
  IFERROR(
    INDEX($E$2:$E$301, SMALL(
      IF(
        ($B$2:$B$301=B293) * ($C$2:$C$301=C293) * ($D$2:$D$301=D293) *
        ($F$2:$F$301=F293) * ($G$2:$G$301=G293) * ($H$2:$H$301=H293) * ($I$2:$I$301=I293) *
        ($J$2:$J$301=J293) * ($K$2:$K$301=K293) * ($E$2:$E$301&lt;&gt;"Evening"),
        ROW($E$2:$E$301)-ROW($E$2)+1,
        ""
      ),
    1)),
    "Night"
  )
)</f>
        <v>Night</v>
      </c>
    </row>
    <row r="294" spans="1:12" x14ac:dyDescent="0.3">
      <c r="A294" s="25" t="s">
        <v>63</v>
      </c>
      <c r="B294" t="s">
        <v>20</v>
      </c>
      <c r="C294" t="s">
        <v>25</v>
      </c>
      <c r="D294" t="s">
        <v>26</v>
      </c>
      <c r="E294" t="s">
        <v>27</v>
      </c>
      <c r="F294">
        <v>1466</v>
      </c>
      <c r="G294">
        <v>901</v>
      </c>
      <c r="H294">
        <v>9.8800000000000008</v>
      </c>
      <c r="I294">
        <v>1.45</v>
      </c>
      <c r="J294">
        <v>8.43</v>
      </c>
      <c r="K294" s="25" t="str" cm="1">
        <f t="array" ref="K294">IF(
  ISNUMBER(DATEVALUE(A294)),
  TEXT(DATEVALUE(A294),"yyyy-mm-dd"),
  IFERROR(
    TEXT(INDEX($A$2:$A$301,MATCH(1,
      ($B$2:$B$301=B294) * ($C$2:$C$301=C294) * ($D$2:$D$301=D294) * ($E$2:$E$301=E294) *
      ($F$2:$F$301=F294) * ($G$2:$G$301=G294) * ($H$2:$H$301=H294) * ($I$2:$I$301=I294) *
      ($J$2:$J$301=J294),0)),"yyyy-mm-dd"),
    "Perlu Klarifikasi"
  )
)</f>
        <v>2024-03-30</v>
      </c>
      <c r="L294" t="str" cm="1">
        <f t="array" ref="L294">IF(
  E294&lt;&gt;"Evening",
  E294,
  IFERROR(
    INDEX($E$2:$E$301, SMALL(
      IF(
        ($B$2:$B$301=B294) * ($C$2:$C$301=C294) * ($D$2:$D$301=D294) *
        ($F$2:$F$301=F294) * ($G$2:$G$301=G294) * ($H$2:$H$301=H294) * ($I$2:$I$301=I294) *
        ($J$2:$J$301=J294) * ($K$2:$K$301=K294) * ($E$2:$E$301&lt;&gt;"Evening"),
        ROW($E$2:$E$301)-ROW($E$2)+1,
        ""
      ),
    1)),
    "Night"
  )
)</f>
        <v>Day</v>
      </c>
    </row>
    <row r="295" spans="1:12" x14ac:dyDescent="0.3">
      <c r="A295" s="25" t="s">
        <v>63</v>
      </c>
      <c r="B295" t="s">
        <v>20</v>
      </c>
      <c r="C295" t="s">
        <v>25</v>
      </c>
      <c r="D295" t="s">
        <v>26</v>
      </c>
      <c r="E295" t="s">
        <v>27</v>
      </c>
      <c r="F295">
        <v>1466</v>
      </c>
      <c r="G295">
        <v>901</v>
      </c>
      <c r="H295">
        <v>9.8800000000000008</v>
      </c>
      <c r="I295">
        <v>1.45</v>
      </c>
      <c r="J295">
        <v>8.43</v>
      </c>
      <c r="K295" s="25" t="str" cm="1">
        <f t="array" ref="K295">IF(
  ISNUMBER(DATEVALUE(A295)),
  TEXT(DATEVALUE(A295),"yyyy-mm-dd"),
  IFERROR(
    TEXT(INDEX($A$2:$A$301,MATCH(1,
      ($B$2:$B$301=B295) * ($C$2:$C$301=C295) * ($D$2:$D$301=D295) * ($E$2:$E$301=E295) *
      ($F$2:$F$301=F295) * ($G$2:$G$301=G295) * ($H$2:$H$301=H295) * ($I$2:$I$301=I295) *
      ($J$2:$J$301=J295),0)),"yyyy-mm-dd"),
    "Perlu Klarifikasi"
  )
)</f>
        <v>2024-03-30</v>
      </c>
      <c r="L295" t="str" cm="1">
        <f t="array" ref="L295">IF(
  E295&lt;&gt;"Evening",
  E295,
  IFERROR(
    INDEX($E$2:$E$301, SMALL(
      IF(
        ($B$2:$B$301=B295) * ($C$2:$C$301=C295) * ($D$2:$D$301=D295) *
        ($F$2:$F$301=F295) * ($G$2:$G$301=G295) * ($H$2:$H$301=H295) * ($I$2:$I$301=I295) *
        ($J$2:$J$301=J295) * ($K$2:$K$301=K295) * ($E$2:$E$301&lt;&gt;"Evening"),
        ROW($E$2:$E$301)-ROW($E$2)+1,
        ""
      ),
    1)),
    "Night"
  )
)</f>
        <v>Day</v>
      </c>
    </row>
    <row r="296" spans="1:12" x14ac:dyDescent="0.3">
      <c r="A296" s="25" t="s">
        <v>63</v>
      </c>
      <c r="B296" t="s">
        <v>20</v>
      </c>
      <c r="C296" t="s">
        <v>25</v>
      </c>
      <c r="D296" t="s">
        <v>26</v>
      </c>
      <c r="E296" t="s">
        <v>27</v>
      </c>
      <c r="F296">
        <v>1466</v>
      </c>
      <c r="G296">
        <v>901</v>
      </c>
      <c r="H296">
        <v>9.8800000000000008</v>
      </c>
      <c r="I296">
        <v>1.45</v>
      </c>
      <c r="J296">
        <v>8.43</v>
      </c>
      <c r="K296" s="25" t="str" cm="1">
        <f t="array" ref="K296">IF(
  ISNUMBER(DATEVALUE(A296)),
  TEXT(DATEVALUE(A296),"yyyy-mm-dd"),
  IFERROR(
    TEXT(INDEX($A$2:$A$301,MATCH(1,
      ($B$2:$B$301=B296) * ($C$2:$C$301=C296) * ($D$2:$D$301=D296) * ($E$2:$E$301=E296) *
      ($F$2:$F$301=F296) * ($G$2:$G$301=G296) * ($H$2:$H$301=H296) * ($I$2:$I$301=I296) *
      ($J$2:$J$301=J296),0)),"yyyy-mm-dd"),
    "Perlu Klarifikasi"
  )
)</f>
        <v>2024-03-30</v>
      </c>
      <c r="L296" t="str" cm="1">
        <f t="array" ref="L296">IF(
  E296&lt;&gt;"Evening",
  E296,
  IFERROR(
    INDEX($E$2:$E$301, SMALL(
      IF(
        ($B$2:$B$301=B296) * ($C$2:$C$301=C296) * ($D$2:$D$301=D296) *
        ($F$2:$F$301=F296) * ($G$2:$G$301=G296) * ($H$2:$H$301=H296) * ($I$2:$I$301=I296) *
        ($J$2:$J$301=J296) * ($K$2:$K$301=K296) * ($E$2:$E$301&lt;&gt;"Evening"),
        ROW($E$2:$E$301)-ROW($E$2)+1,
        ""
      ),
    1)),
    "Night"
  )
)</f>
        <v>Day</v>
      </c>
    </row>
    <row r="297" spans="1:12" x14ac:dyDescent="0.3">
      <c r="A297" s="25" t="s">
        <v>63</v>
      </c>
      <c r="B297" t="s">
        <v>20</v>
      </c>
      <c r="C297" t="s">
        <v>30</v>
      </c>
      <c r="D297" t="s">
        <v>22</v>
      </c>
      <c r="E297" t="s">
        <v>27</v>
      </c>
      <c r="F297">
        <v>615</v>
      </c>
      <c r="G297">
        <v>2232</v>
      </c>
      <c r="H297">
        <v>7.74</v>
      </c>
      <c r="I297">
        <v>1.17</v>
      </c>
      <c r="J297">
        <v>6.57</v>
      </c>
      <c r="K297" s="25" t="str" cm="1">
        <f t="array" ref="K297">IF(
  ISNUMBER(DATEVALUE(A297)),
  TEXT(DATEVALUE(A297),"yyyy-mm-dd"),
  IFERROR(
    TEXT(INDEX($A$2:$A$301,MATCH(1,
      ($B$2:$B$301=B297) * ($C$2:$C$301=C297) * ($D$2:$D$301=D297) * ($E$2:$E$301=E297) *
      ($F$2:$F$301=F297) * ($G$2:$G$301=G297) * ($H$2:$H$301=H297) * ($I$2:$I$301=I297) *
      ($J$2:$J$301=J297),0)),"yyyy-mm-dd"),
    "Perlu Klarifikasi"
  )
)</f>
        <v>2024-03-30</v>
      </c>
      <c r="L297" t="str" cm="1">
        <f t="array" ref="L297">IF(
  E297&lt;&gt;"Evening",
  E297,
  IFERROR(
    INDEX($E$2:$E$301, SMALL(
      IF(
        ($B$2:$B$301=B297) * ($C$2:$C$301=C297) * ($D$2:$D$301=D297) *
        ($F$2:$F$301=F297) * ($G$2:$G$301=G297) * ($H$2:$H$301=H297) * ($I$2:$I$301=I297) *
        ($J$2:$J$301=J297) * ($K$2:$K$301=K297) * ($E$2:$E$301&lt;&gt;"Evening"),
        ROW($E$2:$E$301)-ROW($E$2)+1,
        ""
      ),
    1)),
    "Night"
  )
)</f>
        <v>Day</v>
      </c>
    </row>
    <row r="298" spans="1:12" x14ac:dyDescent="0.3">
      <c r="A298" s="25" t="s">
        <v>75</v>
      </c>
      <c r="B298" t="s">
        <v>29</v>
      </c>
      <c r="C298" t="s">
        <v>30</v>
      </c>
      <c r="D298" t="s">
        <v>26</v>
      </c>
      <c r="E298" t="s">
        <v>23</v>
      </c>
      <c r="F298">
        <v>1535</v>
      </c>
      <c r="G298">
        <v>1926</v>
      </c>
      <c r="H298">
        <v>6.81</v>
      </c>
      <c r="I298">
        <v>0.06</v>
      </c>
      <c r="J298">
        <v>6.75</v>
      </c>
      <c r="K298" s="25" t="str" cm="1">
        <f t="array" ref="K298">IF(
  ISNUMBER(DATEVALUE(A298)),
  TEXT(DATEVALUE(A298),"yyyy-mm-dd"),
  IFERROR(
    TEXT(INDEX($A$2:$A$301,MATCH(1,
      ($B$2:$B$301=B298) * ($C$2:$C$301=C298) * ($D$2:$D$301=D298) * ($E$2:$E$301=E298) *
      ($F$2:$F$301=F298) * ($G$2:$G$301=G298) * ($H$2:$H$301=H298) * ($I$2:$I$301=I298) *
      ($J$2:$J$301=J298),0)),"yyyy-mm-dd"),
    "Perlu Klarifikasi"
  )
)</f>
        <v>2024-03-31</v>
      </c>
      <c r="L298" t="str" cm="1">
        <f t="array" ref="L298">IF(
  E298&lt;&gt;"Evening",
  E298,
  IFERROR(
    INDEX($E$2:$E$301, SMALL(
      IF(
        ($B$2:$B$301=B298) * ($C$2:$C$301=C298) * ($D$2:$D$301=D298) *
        ($F$2:$F$301=F298) * ($G$2:$G$301=G298) * ($H$2:$H$301=H298) * ($I$2:$I$301=I298) *
        ($J$2:$J$301=J298) * ($K$2:$K$301=K298) * ($E$2:$E$301&lt;&gt;"Evening"),
        ROW($E$2:$E$301)-ROW($E$2)+1,
        ""
      ),
    1)),
    "Night"
  )
)</f>
        <v>Night</v>
      </c>
    </row>
    <row r="299" spans="1:12" x14ac:dyDescent="0.3">
      <c r="A299" s="25" t="s">
        <v>75</v>
      </c>
      <c r="B299" t="s">
        <v>29</v>
      </c>
      <c r="C299" t="s">
        <v>30</v>
      </c>
      <c r="D299" t="s">
        <v>26</v>
      </c>
      <c r="E299" t="s">
        <v>23</v>
      </c>
      <c r="F299">
        <v>1535</v>
      </c>
      <c r="G299">
        <v>1926</v>
      </c>
      <c r="H299">
        <v>6.81</v>
      </c>
      <c r="I299">
        <v>0.06</v>
      </c>
      <c r="J299">
        <v>6.75</v>
      </c>
      <c r="K299" s="25" t="str" cm="1">
        <f t="array" ref="K299">IF(
  ISNUMBER(DATEVALUE(A299)),
  TEXT(DATEVALUE(A299),"yyyy-mm-dd"),
  IFERROR(
    TEXT(INDEX($A$2:$A$301,MATCH(1,
      ($B$2:$B$301=B299) * ($C$2:$C$301=C299) * ($D$2:$D$301=D299) * ($E$2:$E$301=E299) *
      ($F$2:$F$301=F299) * ($G$2:$G$301=G299) * ($H$2:$H$301=H299) * ($I$2:$I$301=I299) *
      ($J$2:$J$301=J299),0)),"yyyy-mm-dd"),
    "Perlu Klarifikasi"
  )
)</f>
        <v>2024-03-31</v>
      </c>
      <c r="L299" t="str" cm="1">
        <f t="array" ref="L299">IF(
  E299&lt;&gt;"Evening",
  E299,
  IFERROR(
    INDEX($E$2:$E$301, SMALL(
      IF(
        ($B$2:$B$301=B299) * ($C$2:$C$301=C299) * ($D$2:$D$301=D299) *
        ($F$2:$F$301=F299) * ($G$2:$G$301=G299) * ($H$2:$H$301=H299) * ($I$2:$I$301=I299) *
        ($J$2:$J$301=J299) * ($K$2:$K$301=K299) * ($E$2:$E$301&lt;&gt;"Evening"),
        ROW($E$2:$E$301)-ROW($E$2)+1,
        ""
      ),
    1)),
    "Night"
  )
)</f>
        <v>Night</v>
      </c>
    </row>
    <row r="300" spans="1:12" x14ac:dyDescent="0.3">
      <c r="A300" s="25" t="s">
        <v>75</v>
      </c>
      <c r="B300" t="s">
        <v>29</v>
      </c>
      <c r="C300" t="s">
        <v>30</v>
      </c>
      <c r="D300" t="s">
        <v>26</v>
      </c>
      <c r="E300" t="s">
        <v>23</v>
      </c>
      <c r="F300">
        <v>1535</v>
      </c>
      <c r="G300">
        <v>1926</v>
      </c>
      <c r="H300">
        <v>6.81</v>
      </c>
      <c r="I300">
        <v>0.06</v>
      </c>
      <c r="J300">
        <v>6.75</v>
      </c>
      <c r="K300" s="25" t="str" cm="1">
        <f t="array" ref="K300">IF(
  ISNUMBER(DATEVALUE(A300)),
  TEXT(DATEVALUE(A300),"yyyy-mm-dd"),
  IFERROR(
    TEXT(INDEX($A$2:$A$301,MATCH(1,
      ($B$2:$B$301=B300) * ($C$2:$C$301=C300) * ($D$2:$D$301=D300) * ($E$2:$E$301=E300) *
      ($F$2:$F$301=F300) * ($G$2:$G$301=G300) * ($H$2:$H$301=H300) * ($I$2:$I$301=I300) *
      ($J$2:$J$301=J300),0)),"yyyy-mm-dd"),
    "Perlu Klarifikasi"
  )
)</f>
        <v>2024-03-31</v>
      </c>
      <c r="L300" t="str" cm="1">
        <f t="array" ref="L300">IF(
  E300&lt;&gt;"Evening",
  E300,
  IFERROR(
    INDEX($E$2:$E$301, SMALL(
      IF(
        ($B$2:$B$301=B300) * ($C$2:$C$301=C300) * ($D$2:$D$301=D300) *
        ($F$2:$F$301=F300) * ($G$2:$G$301=G300) * ($H$2:$H$301=H300) * ($I$2:$I$301=I300) *
        ($J$2:$J$301=J300) * ($K$2:$K$301=K300) * ($E$2:$E$301&lt;&gt;"Evening"),
        ROW($E$2:$E$301)-ROW($E$2)+1,
        ""
      ),
    1)),
    "Night"
  )
)</f>
        <v>Night</v>
      </c>
    </row>
    <row r="301" spans="1:12" x14ac:dyDescent="0.3">
      <c r="A301" s="25" t="s">
        <v>75</v>
      </c>
      <c r="B301" t="s">
        <v>20</v>
      </c>
      <c r="C301" t="s">
        <v>21</v>
      </c>
      <c r="D301" t="s">
        <v>26</v>
      </c>
      <c r="E301" t="s">
        <v>27</v>
      </c>
      <c r="F301">
        <v>5765</v>
      </c>
      <c r="G301">
        <v>211</v>
      </c>
      <c r="H301">
        <v>8.08</v>
      </c>
      <c r="I301">
        <v>1.56</v>
      </c>
      <c r="J301">
        <v>6.52</v>
      </c>
      <c r="K301" s="25" t="str" cm="1">
        <f t="array" ref="K301">IF(
  ISNUMBER(DATEVALUE(A301)),
  TEXT(DATEVALUE(A301),"yyyy-mm-dd"),
  IFERROR(
    TEXT(INDEX($A$2:$A$301,MATCH(1,
      ($B$2:$B$301=B301) * ($C$2:$C$301=C301) * ($D$2:$D$301=D301) * ($E$2:$E$301=E301) *
      ($F$2:$F$301=F301) * ($G$2:$G$301=G301) * ($H$2:$H$301=H301) * ($I$2:$I$301=I301) *
      ($J$2:$J$301=J301),0)),"yyyy-mm-dd"),
    "Perlu Klarifikasi"
  )
)</f>
        <v>2024-03-31</v>
      </c>
      <c r="L301" t="str" cm="1">
        <f t="array" ref="L301">IF(
  E301&lt;&gt;"Evening",
  E301,
  IFERROR(
    INDEX($E$2:$E$301, SMALL(
      IF(
        ($B$2:$B$301=B301) * ($C$2:$C$301=C301) * ($D$2:$D$301=D301) *
        ($F$2:$F$301=F301) * ($G$2:$G$301=G301) * ($H$2:$H$301=H301) * ($I$2:$I$301=I301) *
        ($J$2:$J$301=J301) * ($K$2:$K$301=K301) * ($E$2:$E$301&lt;&gt;"Evening"),
        ROW($E$2:$E$301)-ROW($E$2)+1,
        ""
      ),
    1)),
    "Night"
  )
)</f>
        <v>Day</v>
      </c>
    </row>
  </sheetData>
  <autoFilter ref="A1:L301" xr:uid="{4EE578F5-C7BD-426C-A135-9561930C4C64}">
    <sortState xmlns:xlrd2="http://schemas.microsoft.com/office/spreadsheetml/2017/richdata2" ref="A2:L301">
      <sortCondition ref="K1:K301"/>
    </sortState>
  </autoFilter>
  <sortState xmlns:xlrd2="http://schemas.microsoft.com/office/spreadsheetml/2017/richdata2" ref="A2:K301">
    <sortCondition ref="K2:K301"/>
  </sortState>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14554-C7F1-48AA-946B-ED76ECE00DAB}">
  <sheetPr codeName="Sheet7">
    <tabColor rgb="FF92D050"/>
  </sheetPr>
  <dimension ref="A1:Q301"/>
  <sheetViews>
    <sheetView topLeftCell="D1" zoomScale="97" zoomScaleNormal="81" workbookViewId="0">
      <pane ySplit="1" topLeftCell="A2" activePane="bottomLeft" state="frozen"/>
      <selection pane="bottomLeft" activeCell="Q2" sqref="Q2"/>
    </sheetView>
  </sheetViews>
  <sheetFormatPr defaultRowHeight="14.4" x14ac:dyDescent="0.3"/>
  <cols>
    <col min="1" max="1" width="10.6640625" bestFit="1" customWidth="1"/>
    <col min="2" max="2" width="8.6640625" bestFit="1" customWidth="1"/>
    <col min="3" max="3" width="7.33203125" bestFit="1" customWidth="1"/>
    <col min="4" max="4" width="9.44140625" bestFit="1" customWidth="1"/>
    <col min="5" max="5" width="8" bestFit="1" customWidth="1"/>
    <col min="6" max="6" width="11.5546875" bestFit="1" customWidth="1"/>
    <col min="7" max="7" width="12.88671875" bestFit="1" customWidth="1"/>
    <col min="8" max="8" width="14.88671875" bestFit="1" customWidth="1"/>
    <col min="9" max="9" width="12.109375" bestFit="1" customWidth="1"/>
    <col min="10" max="10" width="16.88671875" bestFit="1" customWidth="1"/>
    <col min="11" max="11" width="18.44140625" bestFit="1" customWidth="1"/>
    <col min="12" max="12" width="12.77734375" bestFit="1" customWidth="1"/>
    <col min="13" max="13" width="12.77734375" customWidth="1"/>
    <col min="14" max="14" width="22.33203125" bestFit="1" customWidth="1"/>
    <col min="15" max="15" width="16" bestFit="1" customWidth="1"/>
    <col min="16" max="16" width="18.88671875" bestFit="1" customWidth="1"/>
    <col min="17" max="17" width="19.109375" bestFit="1" customWidth="1"/>
    <col min="18" max="18" width="17" bestFit="1" customWidth="1"/>
    <col min="19" max="19" width="5.77734375" bestFit="1" customWidth="1"/>
    <col min="20" max="20" width="11.109375" bestFit="1" customWidth="1"/>
    <col min="21" max="21" width="5.77734375" bestFit="1" customWidth="1"/>
    <col min="22" max="22" width="12.109375" bestFit="1" customWidth="1"/>
    <col min="23" max="23" width="11.109375" bestFit="1" customWidth="1"/>
    <col min="24" max="24" width="15.109375" bestFit="1" customWidth="1"/>
    <col min="25" max="25" width="12.33203125" bestFit="1" customWidth="1"/>
    <col min="26" max="26" width="15.109375" bestFit="1" customWidth="1"/>
    <col min="27" max="27" width="12.33203125" bestFit="1" customWidth="1"/>
    <col min="28" max="28" width="15.109375" bestFit="1" customWidth="1"/>
    <col min="29" max="30" width="12.33203125" bestFit="1" customWidth="1"/>
    <col min="31" max="31" width="15.109375" bestFit="1" customWidth="1"/>
    <col min="32" max="34" width="12.33203125" bestFit="1" customWidth="1"/>
    <col min="35" max="35" width="15.109375" bestFit="1" customWidth="1"/>
    <col min="36" max="36" width="12.33203125" bestFit="1" customWidth="1"/>
    <col min="37" max="37" width="15.109375" bestFit="1" customWidth="1"/>
    <col min="38" max="38" width="12.33203125" bestFit="1" customWidth="1"/>
    <col min="39" max="39" width="15.109375" bestFit="1" customWidth="1"/>
    <col min="40" max="41" width="12.33203125" bestFit="1" customWidth="1"/>
    <col min="42" max="42" width="15.109375" bestFit="1" customWidth="1"/>
    <col min="43" max="44" width="12.33203125" bestFit="1" customWidth="1"/>
    <col min="45" max="45" width="15.109375" bestFit="1" customWidth="1"/>
    <col min="46" max="47" width="12.33203125" bestFit="1" customWidth="1"/>
    <col min="48" max="48" width="15.109375" bestFit="1" customWidth="1"/>
    <col min="49" max="49" width="12.33203125" bestFit="1" customWidth="1"/>
    <col min="50" max="50" width="15.109375" bestFit="1" customWidth="1"/>
    <col min="51" max="51" width="12.33203125" bestFit="1" customWidth="1"/>
    <col min="52" max="52" width="15.109375" bestFit="1" customWidth="1"/>
    <col min="53" max="54" width="12.33203125" bestFit="1" customWidth="1"/>
    <col min="55" max="55" width="15.109375" bestFit="1" customWidth="1"/>
    <col min="56" max="57" width="12.33203125" bestFit="1" customWidth="1"/>
    <col min="58" max="58" width="15.109375" bestFit="1" customWidth="1"/>
    <col min="59" max="59" width="12.33203125" bestFit="1" customWidth="1"/>
    <col min="60" max="60" width="15.109375" bestFit="1" customWidth="1"/>
    <col min="61" max="61" width="12.33203125" bestFit="1" customWidth="1"/>
    <col min="62" max="62" width="15.109375" bestFit="1" customWidth="1"/>
    <col min="63" max="63" width="12.33203125" bestFit="1" customWidth="1"/>
    <col min="64" max="64" width="15.109375" bestFit="1" customWidth="1"/>
    <col min="65" max="66" width="12.33203125" bestFit="1" customWidth="1"/>
    <col min="67" max="67" width="15.109375" bestFit="1" customWidth="1"/>
    <col min="68" max="68" width="12.33203125" bestFit="1" customWidth="1"/>
    <col min="69" max="69" width="15.109375" bestFit="1" customWidth="1"/>
    <col min="70" max="70" width="12.33203125" bestFit="1" customWidth="1"/>
    <col min="71" max="71" width="15.109375" bestFit="1" customWidth="1"/>
    <col min="72" max="72" width="12.33203125" bestFit="1" customWidth="1"/>
    <col min="73" max="73" width="15.109375" bestFit="1" customWidth="1"/>
    <col min="74" max="74" width="12.33203125" bestFit="1" customWidth="1"/>
    <col min="75" max="75" width="15.109375" bestFit="1" customWidth="1"/>
    <col min="76" max="76" width="12.33203125" bestFit="1" customWidth="1"/>
    <col min="77" max="77" width="15.109375" bestFit="1" customWidth="1"/>
    <col min="78" max="79" width="12.33203125" bestFit="1" customWidth="1"/>
    <col min="80" max="80" width="15.109375" bestFit="1" customWidth="1"/>
    <col min="81" max="82" width="12.33203125" bestFit="1" customWidth="1"/>
    <col min="83" max="83" width="15.109375" bestFit="1" customWidth="1"/>
    <col min="84" max="85" width="12.33203125" bestFit="1" customWidth="1"/>
    <col min="86" max="86" width="15.109375" bestFit="1" customWidth="1"/>
    <col min="87" max="88" width="12.33203125" bestFit="1" customWidth="1"/>
    <col min="89" max="89" width="15.109375" bestFit="1" customWidth="1"/>
    <col min="90" max="90" width="12.33203125" bestFit="1" customWidth="1"/>
    <col min="91" max="91" width="15.109375" bestFit="1" customWidth="1"/>
    <col min="92" max="92" width="12.33203125" bestFit="1" customWidth="1"/>
    <col min="93" max="93" width="15.109375" bestFit="1" customWidth="1"/>
    <col min="94" max="95" width="12.33203125" bestFit="1" customWidth="1"/>
    <col min="96" max="96" width="15.109375" bestFit="1" customWidth="1"/>
    <col min="97" max="97" width="12.33203125" bestFit="1" customWidth="1"/>
    <col min="98" max="98" width="15.109375" bestFit="1" customWidth="1"/>
    <col min="99" max="99" width="12.33203125" bestFit="1" customWidth="1"/>
    <col min="100" max="100" width="15.109375" bestFit="1" customWidth="1"/>
    <col min="101" max="102" width="12.33203125" bestFit="1" customWidth="1"/>
    <col min="103" max="103" width="15.109375" bestFit="1" customWidth="1"/>
    <col min="104" max="105" width="12.33203125" bestFit="1" customWidth="1"/>
    <col min="106" max="106" width="15.109375" bestFit="1" customWidth="1"/>
    <col min="107" max="108" width="12.33203125" bestFit="1" customWidth="1"/>
    <col min="109" max="109" width="15.109375" bestFit="1" customWidth="1"/>
    <col min="110" max="112" width="12.33203125" bestFit="1" customWidth="1"/>
    <col min="113" max="113" width="15.109375" bestFit="1" customWidth="1"/>
    <col min="114" max="114" width="12.33203125" bestFit="1" customWidth="1"/>
    <col min="115" max="115" width="15.109375" bestFit="1" customWidth="1"/>
    <col min="116" max="116" width="12.33203125" bestFit="1" customWidth="1"/>
    <col min="117" max="117" width="15.109375" bestFit="1" customWidth="1"/>
    <col min="118" max="118" width="12.33203125" bestFit="1" customWidth="1"/>
    <col min="119" max="119" width="15.109375" bestFit="1" customWidth="1"/>
    <col min="120" max="121" width="12.33203125" bestFit="1" customWidth="1"/>
    <col min="122" max="122" width="15.109375" bestFit="1" customWidth="1"/>
    <col min="123" max="123" width="12.33203125" bestFit="1" customWidth="1"/>
    <col min="124" max="124" width="15.109375" bestFit="1" customWidth="1"/>
    <col min="125" max="126" width="12.33203125" bestFit="1" customWidth="1"/>
    <col min="127" max="127" width="15.109375" bestFit="1" customWidth="1"/>
    <col min="128" max="128" width="12.33203125" bestFit="1" customWidth="1"/>
    <col min="129" max="129" width="15.109375" bestFit="1" customWidth="1"/>
    <col min="130" max="131" width="12.33203125" bestFit="1" customWidth="1"/>
    <col min="132" max="132" width="15.109375" bestFit="1" customWidth="1"/>
    <col min="133" max="134" width="12.33203125" bestFit="1" customWidth="1"/>
    <col min="135" max="135" width="15.109375" bestFit="1" customWidth="1"/>
    <col min="136" max="138" width="12.33203125" bestFit="1" customWidth="1"/>
    <col min="139" max="139" width="15.109375" bestFit="1" customWidth="1"/>
    <col min="140" max="140" width="12.33203125" bestFit="1" customWidth="1"/>
    <col min="141" max="141" width="15.109375" bestFit="1" customWidth="1"/>
    <col min="142" max="142" width="12.33203125" bestFit="1" customWidth="1"/>
    <col min="143" max="143" width="15.109375" bestFit="1" customWidth="1"/>
    <col min="144" max="144" width="12.33203125" bestFit="1" customWidth="1"/>
    <col min="145" max="145" width="15.109375" bestFit="1" customWidth="1"/>
    <col min="146" max="146" width="12.33203125" bestFit="1" customWidth="1"/>
    <col min="147" max="147" width="15.109375" bestFit="1" customWidth="1"/>
    <col min="148" max="150" width="12.33203125" bestFit="1" customWidth="1"/>
    <col min="151" max="151" width="15.109375" bestFit="1" customWidth="1"/>
    <col min="152" max="153" width="12.33203125" bestFit="1" customWidth="1"/>
    <col min="154" max="154" width="15.109375" bestFit="1" customWidth="1"/>
    <col min="155" max="157" width="12.33203125" bestFit="1" customWidth="1"/>
    <col min="158" max="158" width="15.109375" bestFit="1" customWidth="1"/>
    <col min="159" max="159" width="12.33203125" bestFit="1" customWidth="1"/>
    <col min="160" max="160" width="15.109375" bestFit="1" customWidth="1"/>
    <col min="161" max="161" width="12.33203125" bestFit="1" customWidth="1"/>
    <col min="162" max="162" width="15.109375" bestFit="1" customWidth="1"/>
    <col min="163" max="163" width="12.33203125" bestFit="1" customWidth="1"/>
    <col min="164" max="164" width="15.109375" bestFit="1" customWidth="1"/>
    <col min="165" max="165" width="12.33203125" bestFit="1" customWidth="1"/>
    <col min="166" max="166" width="15.109375" bestFit="1" customWidth="1"/>
    <col min="167" max="168" width="12.33203125" bestFit="1" customWidth="1"/>
    <col min="169" max="169" width="15.109375" bestFit="1" customWidth="1"/>
    <col min="170" max="170" width="12.33203125" bestFit="1" customWidth="1"/>
    <col min="171" max="171" width="15.109375" bestFit="1" customWidth="1"/>
    <col min="172" max="172" width="12.33203125" bestFit="1" customWidth="1"/>
    <col min="173" max="173" width="15.109375" bestFit="1" customWidth="1"/>
    <col min="174" max="174" width="12.33203125" bestFit="1" customWidth="1"/>
    <col min="175" max="175" width="15.109375" bestFit="1" customWidth="1"/>
    <col min="176" max="176" width="12.33203125" bestFit="1" customWidth="1"/>
    <col min="177" max="177" width="15.109375" bestFit="1" customWidth="1"/>
    <col min="178" max="180" width="12.33203125" bestFit="1" customWidth="1"/>
    <col min="181" max="181" width="15.109375" bestFit="1" customWidth="1"/>
    <col min="182" max="183" width="12.33203125" bestFit="1" customWidth="1"/>
    <col min="184" max="184" width="15.109375" bestFit="1" customWidth="1"/>
    <col min="185" max="186" width="12.33203125" bestFit="1" customWidth="1"/>
    <col min="187" max="187" width="15.109375" bestFit="1" customWidth="1"/>
    <col min="188" max="188" width="12.33203125" bestFit="1" customWidth="1"/>
    <col min="189" max="189" width="15.109375" bestFit="1" customWidth="1"/>
    <col min="190" max="190" width="12.33203125" bestFit="1" customWidth="1"/>
    <col min="191" max="191" width="15.109375" bestFit="1" customWidth="1"/>
    <col min="192" max="192" width="12.33203125" bestFit="1" customWidth="1"/>
    <col min="193" max="193" width="15.109375" bestFit="1" customWidth="1"/>
    <col min="194" max="195" width="12.33203125" bestFit="1" customWidth="1"/>
    <col min="196" max="196" width="15.109375" bestFit="1" customWidth="1"/>
    <col min="197" max="198" width="9" bestFit="1" customWidth="1"/>
    <col min="199" max="199" width="11.6640625" bestFit="1" customWidth="1"/>
    <col min="200" max="200" width="10.77734375" bestFit="1" customWidth="1"/>
  </cols>
  <sheetData>
    <row r="1" spans="1:17" x14ac:dyDescent="0.3">
      <c r="A1" s="2" t="s">
        <v>9</v>
      </c>
      <c r="B1" s="2" t="s">
        <v>10</v>
      </c>
      <c r="C1" s="2" t="s">
        <v>11</v>
      </c>
      <c r="D1" s="2" t="s">
        <v>12</v>
      </c>
      <c r="E1" s="2" t="s">
        <v>13</v>
      </c>
      <c r="F1" s="2" t="s">
        <v>14</v>
      </c>
      <c r="G1" s="2" t="s">
        <v>15</v>
      </c>
      <c r="H1" s="2" t="s">
        <v>16</v>
      </c>
      <c r="I1" s="2" t="s">
        <v>17</v>
      </c>
      <c r="J1" s="2" t="s">
        <v>18</v>
      </c>
      <c r="K1" s="2" t="s">
        <v>187</v>
      </c>
      <c r="L1" s="2" t="s">
        <v>195</v>
      </c>
      <c r="M1" s="2" t="s">
        <v>221</v>
      </c>
      <c r="N1" s="31" t="s">
        <v>209</v>
      </c>
      <c r="O1" s="2" t="s">
        <v>220</v>
      </c>
      <c r="P1" s="2" t="s">
        <v>223</v>
      </c>
      <c r="Q1" s="2" t="s">
        <v>226</v>
      </c>
    </row>
    <row r="2" spans="1:17" x14ac:dyDescent="0.3">
      <c r="A2" s="25" t="s">
        <v>92</v>
      </c>
      <c r="B2" t="s">
        <v>20</v>
      </c>
      <c r="C2" t="s">
        <v>21</v>
      </c>
      <c r="D2" t="s">
        <v>31</v>
      </c>
      <c r="E2" t="s">
        <v>32</v>
      </c>
      <c r="F2" s="29">
        <v>713</v>
      </c>
      <c r="G2" s="29">
        <v>6438</v>
      </c>
      <c r="H2" s="30">
        <v>9.92</v>
      </c>
      <c r="I2" s="30">
        <v>1.86</v>
      </c>
      <c r="J2" s="30">
        <v>8.06</v>
      </c>
      <c r="K2" s="25" t="s">
        <v>92</v>
      </c>
      <c r="L2" t="s">
        <v>23</v>
      </c>
      <c r="M2" s="30" t="str">
        <f>IF(ABS(H2-J2-I2) &lt;= 0.01,"Valid","Invalid")</f>
        <v>Valid</v>
      </c>
      <c r="N2" s="30">
        <f>G2/H2</f>
        <v>648.99193548387098</v>
      </c>
      <c r="O2" s="29">
        <f>_xlfn.XLOOKUP(D2,'Fleet Master'!$A$2:$A$9,'Fleet Master'!$D$2:$D$9)*H2</f>
        <v>446.4</v>
      </c>
      <c r="P2" t="str">
        <f>IF(H2=I2+J2,"Valid","Invalid")</f>
        <v>Valid</v>
      </c>
      <c r="Q2" s="30">
        <f>F2/G2</f>
        <v>0.11074867971419695</v>
      </c>
    </row>
    <row r="3" spans="1:17" x14ac:dyDescent="0.3">
      <c r="A3" s="25" t="s">
        <v>92</v>
      </c>
      <c r="B3" t="s">
        <v>20</v>
      </c>
      <c r="C3" t="s">
        <v>25</v>
      </c>
      <c r="D3" t="s">
        <v>31</v>
      </c>
      <c r="E3" t="s">
        <v>23</v>
      </c>
      <c r="F3" s="29">
        <v>1366</v>
      </c>
      <c r="G3" s="29">
        <v>1078</v>
      </c>
      <c r="H3" s="30">
        <v>4.4400000000000004</v>
      </c>
      <c r="I3" s="30">
        <v>0.72</v>
      </c>
      <c r="J3" s="30">
        <v>3.72</v>
      </c>
      <c r="K3" s="25" t="s">
        <v>92</v>
      </c>
      <c r="L3" t="s">
        <v>23</v>
      </c>
      <c r="M3" s="30" t="str">
        <f t="shared" ref="M3:M66" si="0">IF(ABS(H3-J3-I3) &lt;= 0.01,"Valid","Invalid")</f>
        <v>Valid</v>
      </c>
      <c r="N3" s="30">
        <f t="shared" ref="N3:N66" si="1">G3/H3</f>
        <v>242.79279279279277</v>
      </c>
      <c r="O3" s="29">
        <f>_xlfn.XLOOKUP(D3,'Fleet Master'!$A$2:$A$9,'Fleet Master'!$D$2:$D$9)*H3</f>
        <v>199.8</v>
      </c>
      <c r="P3" t="str">
        <f t="shared" ref="P3:P66" si="2">IF(H3=I3+J3,"Valid","Invalid")</f>
        <v>Valid</v>
      </c>
      <c r="Q3" s="30">
        <f t="shared" ref="Q3:Q66" si="3">F3/G3</f>
        <v>1.2671614100185529</v>
      </c>
    </row>
    <row r="4" spans="1:17" x14ac:dyDescent="0.3">
      <c r="A4" s="25" t="s">
        <v>39</v>
      </c>
      <c r="B4" t="s">
        <v>29</v>
      </c>
      <c r="C4" t="s">
        <v>21</v>
      </c>
      <c r="D4" t="s">
        <v>22</v>
      </c>
      <c r="E4" t="s">
        <v>27</v>
      </c>
      <c r="F4" s="29">
        <v>2612</v>
      </c>
      <c r="G4" s="29">
        <v>2675</v>
      </c>
      <c r="H4" s="30">
        <v>7.16</v>
      </c>
      <c r="I4" s="30">
        <v>1.5</v>
      </c>
      <c r="J4" s="30">
        <v>5.66</v>
      </c>
      <c r="K4" s="25" t="s">
        <v>39</v>
      </c>
      <c r="L4" t="s">
        <v>27</v>
      </c>
      <c r="M4" s="30" t="str">
        <f t="shared" si="0"/>
        <v>Valid</v>
      </c>
      <c r="N4" s="30">
        <f t="shared" si="1"/>
        <v>373.60335195530723</v>
      </c>
      <c r="O4" s="29">
        <f>_xlfn.XLOOKUP(D4,'Fleet Master'!$A$2:$A$9,'Fleet Master'!$D$2:$D$9)*H4</f>
        <v>537</v>
      </c>
      <c r="P4" t="str">
        <f t="shared" si="2"/>
        <v>Valid</v>
      </c>
      <c r="Q4" s="30">
        <f t="shared" si="3"/>
        <v>0.97644859813084117</v>
      </c>
    </row>
    <row r="5" spans="1:17" x14ac:dyDescent="0.3">
      <c r="A5" s="25" t="s">
        <v>39</v>
      </c>
      <c r="B5" t="s">
        <v>34</v>
      </c>
      <c r="C5" t="s">
        <v>25</v>
      </c>
      <c r="D5" t="s">
        <v>22</v>
      </c>
      <c r="E5" t="s">
        <v>27</v>
      </c>
      <c r="F5" s="29">
        <v>3737</v>
      </c>
      <c r="G5" s="29">
        <v>269</v>
      </c>
      <c r="H5" s="30">
        <v>9.9499999999999993</v>
      </c>
      <c r="I5" s="30">
        <v>0.78</v>
      </c>
      <c r="J5" s="30">
        <v>9.17</v>
      </c>
      <c r="K5" s="25" t="s">
        <v>39</v>
      </c>
      <c r="L5" t="s">
        <v>27</v>
      </c>
      <c r="M5" s="30" t="str">
        <f t="shared" si="0"/>
        <v>Valid</v>
      </c>
      <c r="N5" s="30">
        <f t="shared" si="1"/>
        <v>27.035175879396988</v>
      </c>
      <c r="O5" s="29">
        <f>_xlfn.XLOOKUP(D5,'Fleet Master'!$A$2:$A$9,'Fleet Master'!$D$2:$D$9)*H5</f>
        <v>746.25</v>
      </c>
      <c r="P5" t="str">
        <f t="shared" si="2"/>
        <v>Valid</v>
      </c>
      <c r="Q5" s="30">
        <f t="shared" si="3"/>
        <v>13.892193308550185</v>
      </c>
    </row>
    <row r="6" spans="1:17" x14ac:dyDescent="0.3">
      <c r="A6" s="25" t="s">
        <v>39</v>
      </c>
      <c r="B6" t="s">
        <v>20</v>
      </c>
      <c r="C6" t="s">
        <v>25</v>
      </c>
      <c r="D6" t="s">
        <v>22</v>
      </c>
      <c r="E6" t="s">
        <v>27</v>
      </c>
      <c r="F6" s="29">
        <v>7669</v>
      </c>
      <c r="G6" s="29">
        <v>4949</v>
      </c>
      <c r="H6" s="30">
        <v>7.54</v>
      </c>
      <c r="I6" s="30">
        <v>0.96</v>
      </c>
      <c r="J6" s="30">
        <v>6.58</v>
      </c>
      <c r="K6" s="25" t="s">
        <v>39</v>
      </c>
      <c r="L6" t="s">
        <v>27</v>
      </c>
      <c r="M6" s="30" t="str">
        <f t="shared" si="0"/>
        <v>Valid</v>
      </c>
      <c r="N6" s="30">
        <f t="shared" si="1"/>
        <v>656.36604774535806</v>
      </c>
      <c r="O6" s="29">
        <f>_xlfn.XLOOKUP(D6,'Fleet Master'!$A$2:$A$9,'Fleet Master'!$D$2:$D$9)*H6</f>
        <v>565.5</v>
      </c>
      <c r="P6" t="str">
        <f t="shared" si="2"/>
        <v>Valid</v>
      </c>
      <c r="Q6" s="30">
        <f t="shared" si="3"/>
        <v>1.5496059810062639</v>
      </c>
    </row>
    <row r="7" spans="1:17" x14ac:dyDescent="0.3">
      <c r="A7" s="25" t="s">
        <v>36</v>
      </c>
      <c r="B7" t="s">
        <v>29</v>
      </c>
      <c r="C7" t="s">
        <v>21</v>
      </c>
      <c r="D7" t="s">
        <v>26</v>
      </c>
      <c r="E7" t="s">
        <v>23</v>
      </c>
      <c r="F7" s="29">
        <v>684</v>
      </c>
      <c r="G7" s="29">
        <v>1349</v>
      </c>
      <c r="H7" s="30">
        <v>5.43</v>
      </c>
      <c r="I7" s="30">
        <v>0.27</v>
      </c>
      <c r="J7" s="30">
        <v>5.16</v>
      </c>
      <c r="K7" s="25" t="s">
        <v>36</v>
      </c>
      <c r="L7" t="s">
        <v>23</v>
      </c>
      <c r="M7" s="30" t="str">
        <f t="shared" si="0"/>
        <v>Valid</v>
      </c>
      <c r="N7" s="30">
        <f t="shared" si="1"/>
        <v>248.43462246777165</v>
      </c>
      <c r="O7" s="29">
        <f>_xlfn.XLOOKUP(D7,'Fleet Master'!$A$2:$A$9,'Fleet Master'!$D$2:$D$9)*H7</f>
        <v>260.64</v>
      </c>
      <c r="P7" t="str">
        <f t="shared" si="2"/>
        <v>Valid</v>
      </c>
      <c r="Q7" s="30">
        <f t="shared" si="3"/>
        <v>0.50704225352112675</v>
      </c>
    </row>
    <row r="8" spans="1:17" x14ac:dyDescent="0.3">
      <c r="A8" s="25" t="s">
        <v>36</v>
      </c>
      <c r="B8" t="s">
        <v>29</v>
      </c>
      <c r="C8" t="s">
        <v>25</v>
      </c>
      <c r="D8" t="s">
        <v>26</v>
      </c>
      <c r="E8" t="s">
        <v>27</v>
      </c>
      <c r="F8" s="29">
        <v>8978</v>
      </c>
      <c r="G8" s="29">
        <v>3637</v>
      </c>
      <c r="H8" s="30">
        <v>4.71</v>
      </c>
      <c r="I8" s="30">
        <v>0.08</v>
      </c>
      <c r="J8" s="30">
        <v>4.63</v>
      </c>
      <c r="K8" s="25" t="s">
        <v>36</v>
      </c>
      <c r="L8" t="s">
        <v>27</v>
      </c>
      <c r="M8" s="30" t="str">
        <f t="shared" si="0"/>
        <v>Valid</v>
      </c>
      <c r="N8" s="30">
        <f t="shared" si="1"/>
        <v>772.18683651804668</v>
      </c>
      <c r="O8" s="29">
        <f>_xlfn.XLOOKUP(D8,'Fleet Master'!$A$2:$A$9,'Fleet Master'!$D$2:$D$9)*H8</f>
        <v>226.07999999999998</v>
      </c>
      <c r="P8" t="str">
        <f t="shared" si="2"/>
        <v>Valid</v>
      </c>
      <c r="Q8" s="30">
        <f t="shared" si="3"/>
        <v>2.4685180093483639</v>
      </c>
    </row>
    <row r="9" spans="1:17" x14ac:dyDescent="0.3">
      <c r="A9" s="25" t="s">
        <v>36</v>
      </c>
      <c r="B9" t="s">
        <v>29</v>
      </c>
      <c r="C9" t="s">
        <v>21</v>
      </c>
      <c r="D9" t="s">
        <v>31</v>
      </c>
      <c r="E9" t="s">
        <v>32</v>
      </c>
      <c r="F9" s="29">
        <v>3336</v>
      </c>
      <c r="G9" s="29">
        <v>2526</v>
      </c>
      <c r="H9" s="30">
        <v>6.14</v>
      </c>
      <c r="I9" s="30">
        <v>0.63</v>
      </c>
      <c r="J9" s="30">
        <v>5.51</v>
      </c>
      <c r="K9" s="25" t="s">
        <v>36</v>
      </c>
      <c r="L9" t="s">
        <v>27</v>
      </c>
      <c r="M9" s="30" t="str">
        <f t="shared" si="0"/>
        <v>Valid</v>
      </c>
      <c r="N9" s="30">
        <f t="shared" si="1"/>
        <v>411.40065146579809</v>
      </c>
      <c r="O9" s="29">
        <f>_xlfn.XLOOKUP(D9,'Fleet Master'!$A$2:$A$9,'Fleet Master'!$D$2:$D$9)*H9</f>
        <v>276.3</v>
      </c>
      <c r="P9" t="str">
        <f t="shared" si="2"/>
        <v>Valid</v>
      </c>
      <c r="Q9" s="30">
        <f t="shared" si="3"/>
        <v>1.3206650831353919</v>
      </c>
    </row>
    <row r="10" spans="1:17" x14ac:dyDescent="0.3">
      <c r="A10" s="25" t="s">
        <v>36</v>
      </c>
      <c r="B10" t="s">
        <v>29</v>
      </c>
      <c r="C10" t="s">
        <v>25</v>
      </c>
      <c r="D10" t="s">
        <v>26</v>
      </c>
      <c r="E10" t="s">
        <v>23</v>
      </c>
      <c r="F10" s="29">
        <v>2604</v>
      </c>
      <c r="G10" s="29">
        <v>1318</v>
      </c>
      <c r="H10" s="30">
        <v>6.25</v>
      </c>
      <c r="I10" s="30">
        <v>1.1399999999999999</v>
      </c>
      <c r="J10" s="30">
        <v>5.1100000000000003</v>
      </c>
      <c r="K10" s="25" t="s">
        <v>36</v>
      </c>
      <c r="L10" t="s">
        <v>23</v>
      </c>
      <c r="M10" s="30" t="str">
        <f t="shared" si="0"/>
        <v>Valid</v>
      </c>
      <c r="N10" s="30">
        <f t="shared" si="1"/>
        <v>210.88</v>
      </c>
      <c r="O10" s="29">
        <f>_xlfn.XLOOKUP(D10,'Fleet Master'!$A$2:$A$9,'Fleet Master'!$D$2:$D$9)*H10</f>
        <v>300</v>
      </c>
      <c r="P10" t="str">
        <f t="shared" si="2"/>
        <v>Valid</v>
      </c>
      <c r="Q10" s="30">
        <f t="shared" si="3"/>
        <v>1.9757207890743551</v>
      </c>
    </row>
    <row r="11" spans="1:17" x14ac:dyDescent="0.3">
      <c r="A11" s="25" t="s">
        <v>36</v>
      </c>
      <c r="B11" t="s">
        <v>34</v>
      </c>
      <c r="C11" t="s">
        <v>25</v>
      </c>
      <c r="D11" t="s">
        <v>22</v>
      </c>
      <c r="E11" t="s">
        <v>23</v>
      </c>
      <c r="F11" s="29">
        <v>3710</v>
      </c>
      <c r="G11" s="29">
        <v>3388</v>
      </c>
      <c r="H11" s="30">
        <v>8.73</v>
      </c>
      <c r="I11" s="30">
        <v>1.18</v>
      </c>
      <c r="J11" s="30">
        <v>7.55</v>
      </c>
      <c r="K11" s="25" t="s">
        <v>36</v>
      </c>
      <c r="L11" t="s">
        <v>23</v>
      </c>
      <c r="M11" s="30" t="str">
        <f t="shared" si="0"/>
        <v>Valid</v>
      </c>
      <c r="N11" s="30">
        <f t="shared" si="1"/>
        <v>388.08705612829323</v>
      </c>
      <c r="O11" s="29">
        <f>_xlfn.XLOOKUP(D11,'Fleet Master'!$A$2:$A$9,'Fleet Master'!$D$2:$D$9)*H11</f>
        <v>654.75</v>
      </c>
      <c r="P11" t="str">
        <f t="shared" si="2"/>
        <v>Valid</v>
      </c>
      <c r="Q11" s="30">
        <f t="shared" si="3"/>
        <v>1.0950413223140496</v>
      </c>
    </row>
    <row r="12" spans="1:17" x14ac:dyDescent="0.3">
      <c r="A12" s="25" t="s">
        <v>54</v>
      </c>
      <c r="B12" t="s">
        <v>20</v>
      </c>
      <c r="C12" t="s">
        <v>30</v>
      </c>
      <c r="D12" t="s">
        <v>26</v>
      </c>
      <c r="E12" t="s">
        <v>32</v>
      </c>
      <c r="F12" s="29">
        <v>5683</v>
      </c>
      <c r="G12" s="29">
        <v>5055</v>
      </c>
      <c r="H12" s="30">
        <v>4.59</v>
      </c>
      <c r="I12" s="30">
        <v>0.17</v>
      </c>
      <c r="J12" s="30">
        <v>4.42</v>
      </c>
      <c r="K12" s="25" t="s">
        <v>54</v>
      </c>
      <c r="L12" t="s">
        <v>23</v>
      </c>
      <c r="M12" s="30" t="str">
        <f t="shared" si="0"/>
        <v>Valid</v>
      </c>
      <c r="N12" s="30">
        <f t="shared" si="1"/>
        <v>1101.3071895424837</v>
      </c>
      <c r="O12" s="29">
        <f>_xlfn.XLOOKUP(D12,'Fleet Master'!$A$2:$A$9,'Fleet Master'!$D$2:$D$9)*H12</f>
        <v>220.32</v>
      </c>
      <c r="P12" t="str">
        <f t="shared" si="2"/>
        <v>Valid</v>
      </c>
      <c r="Q12" s="30">
        <f t="shared" si="3"/>
        <v>1.1242334322453016</v>
      </c>
    </row>
    <row r="13" spans="1:17" x14ac:dyDescent="0.3">
      <c r="A13" s="25" t="s">
        <v>96</v>
      </c>
      <c r="B13" t="s">
        <v>34</v>
      </c>
      <c r="C13" t="s">
        <v>21</v>
      </c>
      <c r="D13" t="s">
        <v>22</v>
      </c>
      <c r="E13" t="s">
        <v>23</v>
      </c>
      <c r="F13" s="29">
        <v>4512</v>
      </c>
      <c r="G13" s="29">
        <v>1543</v>
      </c>
      <c r="H13" s="30">
        <v>5.16</v>
      </c>
      <c r="I13" s="30">
        <v>0.03</v>
      </c>
      <c r="J13" s="30">
        <v>5.13</v>
      </c>
      <c r="K13" s="25" t="s">
        <v>96</v>
      </c>
      <c r="L13" t="s">
        <v>23</v>
      </c>
      <c r="M13" s="30" t="str">
        <f t="shared" si="0"/>
        <v>Valid</v>
      </c>
      <c r="N13" s="30">
        <f t="shared" si="1"/>
        <v>299.03100775193798</v>
      </c>
      <c r="O13" s="29">
        <f>_xlfn.XLOOKUP(D13,'Fleet Master'!$A$2:$A$9,'Fleet Master'!$D$2:$D$9)*H13</f>
        <v>387</v>
      </c>
      <c r="P13" t="str">
        <f t="shared" si="2"/>
        <v>Valid</v>
      </c>
      <c r="Q13" s="30">
        <f t="shared" si="3"/>
        <v>2.9241736876215163</v>
      </c>
    </row>
    <row r="14" spans="1:17" x14ac:dyDescent="0.3">
      <c r="A14" s="25" t="s">
        <v>24</v>
      </c>
      <c r="B14" t="s">
        <v>20</v>
      </c>
      <c r="C14" t="s">
        <v>25</v>
      </c>
      <c r="D14" t="s">
        <v>26</v>
      </c>
      <c r="E14" t="s">
        <v>27</v>
      </c>
      <c r="F14" s="29">
        <v>8608</v>
      </c>
      <c r="G14" s="29">
        <v>1381</v>
      </c>
      <c r="H14" s="30">
        <v>5.24</v>
      </c>
      <c r="I14" s="30">
        <v>0.17</v>
      </c>
      <c r="J14" s="30">
        <v>5.07</v>
      </c>
      <c r="K14" s="25" t="s">
        <v>24</v>
      </c>
      <c r="L14" t="s">
        <v>27</v>
      </c>
      <c r="M14" s="30" t="str">
        <f t="shared" si="0"/>
        <v>Valid</v>
      </c>
      <c r="N14" s="30">
        <f t="shared" si="1"/>
        <v>263.54961832061065</v>
      </c>
      <c r="O14" s="29">
        <f>_xlfn.XLOOKUP(D14,'Fleet Master'!$A$2:$A$9,'Fleet Master'!$D$2:$D$9)*H14</f>
        <v>251.52</v>
      </c>
      <c r="P14" t="str">
        <f t="shared" si="2"/>
        <v>Valid</v>
      </c>
      <c r="Q14" s="30">
        <f t="shared" si="3"/>
        <v>6.2331643736422881</v>
      </c>
    </row>
    <row r="15" spans="1:17" x14ac:dyDescent="0.3">
      <c r="A15" s="25" t="s">
        <v>24</v>
      </c>
      <c r="B15" t="s">
        <v>29</v>
      </c>
      <c r="C15" t="s">
        <v>21</v>
      </c>
      <c r="D15" t="s">
        <v>26</v>
      </c>
      <c r="E15" t="s">
        <v>23</v>
      </c>
      <c r="F15" s="29">
        <v>2268</v>
      </c>
      <c r="G15" s="29">
        <v>5211</v>
      </c>
      <c r="H15" s="30">
        <v>9.7799999999999994</v>
      </c>
      <c r="I15" s="30">
        <v>0.33</v>
      </c>
      <c r="J15" s="30">
        <v>9.4499999999999993</v>
      </c>
      <c r="K15" s="25" t="s">
        <v>24</v>
      </c>
      <c r="L15" t="s">
        <v>23</v>
      </c>
      <c r="M15" s="30" t="str">
        <f t="shared" si="0"/>
        <v>Valid</v>
      </c>
      <c r="N15" s="30">
        <f t="shared" si="1"/>
        <v>532.82208588957053</v>
      </c>
      <c r="O15" s="29">
        <f>_xlfn.XLOOKUP(D15,'Fleet Master'!$A$2:$A$9,'Fleet Master'!$D$2:$D$9)*H15</f>
        <v>469.43999999999994</v>
      </c>
      <c r="P15" t="str">
        <f t="shared" si="2"/>
        <v>Valid</v>
      </c>
      <c r="Q15" s="30">
        <f t="shared" si="3"/>
        <v>0.43523316062176165</v>
      </c>
    </row>
    <row r="16" spans="1:17" x14ac:dyDescent="0.3">
      <c r="A16" s="25" t="s">
        <v>85</v>
      </c>
      <c r="B16" t="s">
        <v>20</v>
      </c>
      <c r="C16" t="s">
        <v>30</v>
      </c>
      <c r="D16" t="s">
        <v>31</v>
      </c>
      <c r="E16" t="s">
        <v>27</v>
      </c>
      <c r="F16" s="29">
        <v>3338</v>
      </c>
      <c r="G16" s="29">
        <v>3878</v>
      </c>
      <c r="H16" s="30">
        <v>9.27</v>
      </c>
      <c r="I16" s="30">
        <v>0.35</v>
      </c>
      <c r="J16" s="30">
        <v>8.92</v>
      </c>
      <c r="K16" s="25" t="s">
        <v>85</v>
      </c>
      <c r="L16" t="s">
        <v>27</v>
      </c>
      <c r="M16" s="30" t="str">
        <f t="shared" si="0"/>
        <v>Valid</v>
      </c>
      <c r="N16" s="30">
        <f t="shared" si="1"/>
        <v>418.33872707659117</v>
      </c>
      <c r="O16" s="29">
        <f>_xlfn.XLOOKUP(D16,'Fleet Master'!$A$2:$A$9,'Fleet Master'!$D$2:$D$9)*H16</f>
        <v>417.15</v>
      </c>
      <c r="P16" t="str">
        <f t="shared" si="2"/>
        <v>Valid</v>
      </c>
      <c r="Q16" s="30">
        <f t="shared" si="3"/>
        <v>0.86075296544610624</v>
      </c>
    </row>
    <row r="17" spans="1:17" x14ac:dyDescent="0.3">
      <c r="A17" s="25" t="s">
        <v>85</v>
      </c>
      <c r="B17" t="s">
        <v>29</v>
      </c>
      <c r="C17" t="s">
        <v>30</v>
      </c>
      <c r="D17" t="s">
        <v>26</v>
      </c>
      <c r="E17" t="s">
        <v>23</v>
      </c>
      <c r="F17" s="29">
        <v>938</v>
      </c>
      <c r="G17" s="29">
        <v>2671</v>
      </c>
      <c r="H17" s="30">
        <v>6.8</v>
      </c>
      <c r="I17" s="30">
        <v>0.97</v>
      </c>
      <c r="J17" s="30">
        <v>5.83</v>
      </c>
      <c r="K17" s="25" t="s">
        <v>85</v>
      </c>
      <c r="L17" t="s">
        <v>23</v>
      </c>
      <c r="M17" s="30" t="str">
        <f t="shared" si="0"/>
        <v>Valid</v>
      </c>
      <c r="N17" s="30">
        <f t="shared" si="1"/>
        <v>392.79411764705884</v>
      </c>
      <c r="O17" s="29">
        <f>_xlfn.XLOOKUP(D17,'Fleet Master'!$A$2:$A$9,'Fleet Master'!$D$2:$D$9)*H17</f>
        <v>326.39999999999998</v>
      </c>
      <c r="P17" t="str">
        <f t="shared" si="2"/>
        <v>Valid</v>
      </c>
      <c r="Q17" s="30">
        <f t="shared" si="3"/>
        <v>0.35117933358292774</v>
      </c>
    </row>
    <row r="18" spans="1:17" x14ac:dyDescent="0.3">
      <c r="A18" s="25" t="s">
        <v>85</v>
      </c>
      <c r="B18" t="s">
        <v>34</v>
      </c>
      <c r="C18" t="s">
        <v>21</v>
      </c>
      <c r="D18" t="s">
        <v>26</v>
      </c>
      <c r="E18" t="s">
        <v>27</v>
      </c>
      <c r="F18" s="29">
        <v>5401</v>
      </c>
      <c r="G18" s="29">
        <v>78</v>
      </c>
      <c r="H18" s="30">
        <v>8.17</v>
      </c>
      <c r="I18" s="30">
        <v>0.51</v>
      </c>
      <c r="J18" s="30">
        <v>7.66</v>
      </c>
      <c r="K18" s="25" t="s">
        <v>85</v>
      </c>
      <c r="L18" t="s">
        <v>27</v>
      </c>
      <c r="M18" s="30" t="str">
        <f t="shared" si="0"/>
        <v>Valid</v>
      </c>
      <c r="N18" s="30">
        <f t="shared" si="1"/>
        <v>9.5471236230110161</v>
      </c>
      <c r="O18" s="29">
        <f>_xlfn.XLOOKUP(D18,'Fleet Master'!$A$2:$A$9,'Fleet Master'!$D$2:$D$9)*H18</f>
        <v>392.15999999999997</v>
      </c>
      <c r="P18" t="str">
        <f t="shared" si="2"/>
        <v>Valid</v>
      </c>
      <c r="Q18" s="30">
        <f t="shared" si="3"/>
        <v>69.243589743589737</v>
      </c>
    </row>
    <row r="19" spans="1:17" x14ac:dyDescent="0.3">
      <c r="A19" s="25" t="s">
        <v>87</v>
      </c>
      <c r="B19" t="s">
        <v>20</v>
      </c>
      <c r="C19" t="s">
        <v>21</v>
      </c>
      <c r="D19" t="s">
        <v>31</v>
      </c>
      <c r="E19" t="s">
        <v>23</v>
      </c>
      <c r="F19" s="29">
        <v>2208</v>
      </c>
      <c r="G19" s="29">
        <v>3296</v>
      </c>
      <c r="H19" s="30">
        <v>6.97</v>
      </c>
      <c r="I19" s="30">
        <v>0.23</v>
      </c>
      <c r="J19" s="30">
        <v>6.74</v>
      </c>
      <c r="K19" s="25" t="s">
        <v>87</v>
      </c>
      <c r="L19" t="s">
        <v>23</v>
      </c>
      <c r="M19" s="30" t="str">
        <f t="shared" si="0"/>
        <v>Valid</v>
      </c>
      <c r="N19" s="30">
        <f t="shared" si="1"/>
        <v>472.88378766140602</v>
      </c>
      <c r="O19" s="29">
        <f>_xlfn.XLOOKUP(D19,'Fleet Master'!$A$2:$A$9,'Fleet Master'!$D$2:$D$9)*H19</f>
        <v>313.64999999999998</v>
      </c>
      <c r="P19" t="str">
        <f t="shared" si="2"/>
        <v>Valid</v>
      </c>
      <c r="Q19" s="30">
        <f t="shared" si="3"/>
        <v>0.66990291262135926</v>
      </c>
    </row>
    <row r="20" spans="1:17" x14ac:dyDescent="0.3">
      <c r="A20" s="25" t="s">
        <v>87</v>
      </c>
      <c r="B20" t="s">
        <v>20</v>
      </c>
      <c r="C20" t="s">
        <v>25</v>
      </c>
      <c r="D20" t="s">
        <v>26</v>
      </c>
      <c r="E20" t="s">
        <v>23</v>
      </c>
      <c r="F20" s="29">
        <v>1812</v>
      </c>
      <c r="G20" s="29">
        <v>4496</v>
      </c>
      <c r="H20" s="30">
        <v>4.7699999999999996</v>
      </c>
      <c r="I20" s="30">
        <v>1.1299999999999999</v>
      </c>
      <c r="J20" s="30">
        <v>3.64</v>
      </c>
      <c r="K20" s="25" t="s">
        <v>87</v>
      </c>
      <c r="L20" t="s">
        <v>23</v>
      </c>
      <c r="M20" s="30" t="str">
        <f t="shared" si="0"/>
        <v>Valid</v>
      </c>
      <c r="N20" s="30">
        <f t="shared" si="1"/>
        <v>942.55765199161431</v>
      </c>
      <c r="O20" s="29">
        <f>_xlfn.XLOOKUP(D20,'Fleet Master'!$A$2:$A$9,'Fleet Master'!$D$2:$D$9)*H20</f>
        <v>228.95999999999998</v>
      </c>
      <c r="P20" t="str">
        <f t="shared" si="2"/>
        <v>Valid</v>
      </c>
      <c r="Q20" s="30">
        <f t="shared" si="3"/>
        <v>0.40302491103202848</v>
      </c>
    </row>
    <row r="21" spans="1:17" x14ac:dyDescent="0.3">
      <c r="A21" s="25" t="s">
        <v>102</v>
      </c>
      <c r="B21" t="s">
        <v>20</v>
      </c>
      <c r="C21" t="s">
        <v>25</v>
      </c>
      <c r="D21" t="s">
        <v>26</v>
      </c>
      <c r="E21" t="s">
        <v>23</v>
      </c>
      <c r="F21" s="29">
        <v>566</v>
      </c>
      <c r="G21" s="29">
        <v>2310</v>
      </c>
      <c r="H21" s="30">
        <v>8.84</v>
      </c>
      <c r="I21" s="30">
        <v>1.88</v>
      </c>
      <c r="J21" s="30">
        <v>6.96</v>
      </c>
      <c r="K21" s="25" t="s">
        <v>102</v>
      </c>
      <c r="L21" t="s">
        <v>23</v>
      </c>
      <c r="M21" s="30" t="str">
        <f t="shared" si="0"/>
        <v>Valid</v>
      </c>
      <c r="N21" s="30">
        <f t="shared" si="1"/>
        <v>261.31221719457017</v>
      </c>
      <c r="O21" s="29">
        <f>_xlfn.XLOOKUP(D21,'Fleet Master'!$A$2:$A$9,'Fleet Master'!$D$2:$D$9)*H21</f>
        <v>424.32</v>
      </c>
      <c r="P21" t="str">
        <f t="shared" si="2"/>
        <v>Valid</v>
      </c>
      <c r="Q21" s="30">
        <f t="shared" si="3"/>
        <v>0.24502164502164503</v>
      </c>
    </row>
    <row r="22" spans="1:17" x14ac:dyDescent="0.3">
      <c r="A22" s="25" t="s">
        <v>59</v>
      </c>
      <c r="B22" t="s">
        <v>29</v>
      </c>
      <c r="C22" t="s">
        <v>25</v>
      </c>
      <c r="D22" t="s">
        <v>31</v>
      </c>
      <c r="E22" t="s">
        <v>23</v>
      </c>
      <c r="F22" s="29">
        <v>866</v>
      </c>
      <c r="G22" s="29">
        <v>5665</v>
      </c>
      <c r="H22" s="30">
        <v>4.41</v>
      </c>
      <c r="I22" s="30">
        <v>0.72</v>
      </c>
      <c r="J22" s="30">
        <v>3.69</v>
      </c>
      <c r="K22" s="25" t="s">
        <v>59</v>
      </c>
      <c r="L22" t="s">
        <v>23</v>
      </c>
      <c r="M22" s="30" t="str">
        <f t="shared" si="0"/>
        <v>Valid</v>
      </c>
      <c r="N22" s="30">
        <f t="shared" si="1"/>
        <v>1284.580498866213</v>
      </c>
      <c r="O22" s="29">
        <f>_xlfn.XLOOKUP(D22,'Fleet Master'!$A$2:$A$9,'Fleet Master'!$D$2:$D$9)*H22</f>
        <v>198.45000000000002</v>
      </c>
      <c r="P22" t="str">
        <f t="shared" si="2"/>
        <v>Valid</v>
      </c>
      <c r="Q22" s="30">
        <f t="shared" si="3"/>
        <v>0.15286849073256839</v>
      </c>
    </row>
    <row r="23" spans="1:17" x14ac:dyDescent="0.3">
      <c r="A23" s="25" t="s">
        <v>59</v>
      </c>
      <c r="B23" t="s">
        <v>34</v>
      </c>
      <c r="C23" t="s">
        <v>30</v>
      </c>
      <c r="D23" t="s">
        <v>31</v>
      </c>
      <c r="E23" t="s">
        <v>32</v>
      </c>
      <c r="F23" s="29">
        <v>2749</v>
      </c>
      <c r="G23" s="29">
        <v>3981</v>
      </c>
      <c r="H23" s="30">
        <v>7.71</v>
      </c>
      <c r="I23" s="30">
        <v>1.65</v>
      </c>
      <c r="J23" s="30">
        <v>6.06</v>
      </c>
      <c r="K23" s="25" t="s">
        <v>59</v>
      </c>
      <c r="L23" t="s">
        <v>23</v>
      </c>
      <c r="M23" s="30" t="str">
        <f t="shared" si="0"/>
        <v>Valid</v>
      </c>
      <c r="N23" s="30">
        <f t="shared" si="1"/>
        <v>516.34241245136184</v>
      </c>
      <c r="O23" s="29">
        <f>_xlfn.XLOOKUP(D23,'Fleet Master'!$A$2:$A$9,'Fleet Master'!$D$2:$D$9)*H23</f>
        <v>346.95</v>
      </c>
      <c r="P23" t="str">
        <f t="shared" si="2"/>
        <v>Valid</v>
      </c>
      <c r="Q23" s="30">
        <f t="shared" si="3"/>
        <v>0.69053001758352173</v>
      </c>
    </row>
    <row r="24" spans="1:17" x14ac:dyDescent="0.3">
      <c r="A24" s="25" t="s">
        <v>42</v>
      </c>
      <c r="B24" t="s">
        <v>20</v>
      </c>
      <c r="C24" t="s">
        <v>21</v>
      </c>
      <c r="D24" t="s">
        <v>31</v>
      </c>
      <c r="E24" t="s">
        <v>23</v>
      </c>
      <c r="F24" s="29">
        <v>8322</v>
      </c>
      <c r="G24" s="29">
        <v>5039</v>
      </c>
      <c r="H24" s="30">
        <v>9.36</v>
      </c>
      <c r="I24" s="30">
        <v>1.99</v>
      </c>
      <c r="J24" s="30">
        <v>7.37</v>
      </c>
      <c r="K24" s="25" t="s">
        <v>42</v>
      </c>
      <c r="L24" t="s">
        <v>23</v>
      </c>
      <c r="M24" s="30" t="str">
        <f t="shared" si="0"/>
        <v>Valid</v>
      </c>
      <c r="N24" s="30">
        <f t="shared" si="1"/>
        <v>538.35470085470092</v>
      </c>
      <c r="O24" s="29">
        <f>_xlfn.XLOOKUP(D24,'Fleet Master'!$A$2:$A$9,'Fleet Master'!$D$2:$D$9)*H24</f>
        <v>421.2</v>
      </c>
      <c r="P24" t="str">
        <f t="shared" si="2"/>
        <v>Valid</v>
      </c>
      <c r="Q24" s="30">
        <f t="shared" si="3"/>
        <v>1.6515181583647549</v>
      </c>
    </row>
    <row r="25" spans="1:17" x14ac:dyDescent="0.3">
      <c r="A25" s="25" t="s">
        <v>42</v>
      </c>
      <c r="B25" t="s">
        <v>29</v>
      </c>
      <c r="C25" t="s">
        <v>21</v>
      </c>
      <c r="D25" t="s">
        <v>22</v>
      </c>
      <c r="E25" t="s">
        <v>27</v>
      </c>
      <c r="F25" s="29">
        <v>6140</v>
      </c>
      <c r="G25" s="29">
        <v>68</v>
      </c>
      <c r="H25" s="30">
        <v>5.95</v>
      </c>
      <c r="I25" s="30">
        <v>0.06</v>
      </c>
      <c r="J25" s="30">
        <v>5.89</v>
      </c>
      <c r="K25" s="25" t="s">
        <v>42</v>
      </c>
      <c r="L25" t="s">
        <v>27</v>
      </c>
      <c r="M25" s="30" t="str">
        <f t="shared" si="0"/>
        <v>Valid</v>
      </c>
      <c r="N25" s="30">
        <f t="shared" si="1"/>
        <v>11.428571428571429</v>
      </c>
      <c r="O25" s="29">
        <f>_xlfn.XLOOKUP(D25,'Fleet Master'!$A$2:$A$9,'Fleet Master'!$D$2:$D$9)*H25</f>
        <v>446.25</v>
      </c>
      <c r="P25" t="str">
        <f t="shared" si="2"/>
        <v>Valid</v>
      </c>
      <c r="Q25" s="30">
        <f t="shared" si="3"/>
        <v>90.294117647058826</v>
      </c>
    </row>
    <row r="26" spans="1:17" x14ac:dyDescent="0.3">
      <c r="A26" s="25" t="s">
        <v>42</v>
      </c>
      <c r="B26" t="s">
        <v>29</v>
      </c>
      <c r="C26" t="s">
        <v>30</v>
      </c>
      <c r="D26" t="s">
        <v>22</v>
      </c>
      <c r="E26" t="s">
        <v>27</v>
      </c>
      <c r="F26" s="29">
        <v>5415</v>
      </c>
      <c r="G26" s="29">
        <v>5800</v>
      </c>
      <c r="H26" s="30">
        <v>4.57</v>
      </c>
      <c r="I26" s="30">
        <v>0.38</v>
      </c>
      <c r="J26" s="30">
        <v>4.1900000000000004</v>
      </c>
      <c r="K26" s="25" t="s">
        <v>42</v>
      </c>
      <c r="L26" t="s">
        <v>27</v>
      </c>
      <c r="M26" s="30" t="str">
        <f t="shared" si="0"/>
        <v>Valid</v>
      </c>
      <c r="N26" s="30">
        <f t="shared" si="1"/>
        <v>1269.1466083150983</v>
      </c>
      <c r="O26" s="29">
        <f>_xlfn.XLOOKUP(D26,'Fleet Master'!$A$2:$A$9,'Fleet Master'!$D$2:$D$9)*H26</f>
        <v>342.75</v>
      </c>
      <c r="P26" t="str">
        <f t="shared" si="2"/>
        <v>Valid</v>
      </c>
      <c r="Q26" s="30">
        <f t="shared" si="3"/>
        <v>0.93362068965517242</v>
      </c>
    </row>
    <row r="27" spans="1:17" x14ac:dyDescent="0.3">
      <c r="A27" s="25" t="s">
        <v>46</v>
      </c>
      <c r="B27" t="s">
        <v>29</v>
      </c>
      <c r="C27" t="s">
        <v>21</v>
      </c>
      <c r="D27" t="s">
        <v>31</v>
      </c>
      <c r="E27" t="s">
        <v>27</v>
      </c>
      <c r="F27" s="29">
        <v>7864</v>
      </c>
      <c r="G27" s="29">
        <v>4876</v>
      </c>
      <c r="H27" s="30">
        <v>6.23</v>
      </c>
      <c r="I27" s="30">
        <v>1.01</v>
      </c>
      <c r="J27" s="30">
        <v>5.22</v>
      </c>
      <c r="K27" s="25" t="s">
        <v>46</v>
      </c>
      <c r="L27" t="s">
        <v>27</v>
      </c>
      <c r="M27" s="30" t="str">
        <f t="shared" si="0"/>
        <v>Valid</v>
      </c>
      <c r="N27" s="30">
        <f t="shared" si="1"/>
        <v>782.66452648475115</v>
      </c>
      <c r="O27" s="29">
        <f>_xlfn.XLOOKUP(D27,'Fleet Master'!$A$2:$A$9,'Fleet Master'!$D$2:$D$9)*H27</f>
        <v>280.35000000000002</v>
      </c>
      <c r="P27" t="str">
        <f t="shared" si="2"/>
        <v>Valid</v>
      </c>
      <c r="Q27" s="30">
        <f t="shared" si="3"/>
        <v>1.6127973748974569</v>
      </c>
    </row>
    <row r="28" spans="1:17" x14ac:dyDescent="0.3">
      <c r="A28" s="25" t="s">
        <v>46</v>
      </c>
      <c r="B28" t="s">
        <v>29</v>
      </c>
      <c r="C28" t="s">
        <v>21</v>
      </c>
      <c r="D28" t="s">
        <v>26</v>
      </c>
      <c r="E28" t="s">
        <v>27</v>
      </c>
      <c r="F28" s="29">
        <v>4629</v>
      </c>
      <c r="G28" s="29">
        <v>6379</v>
      </c>
      <c r="H28" s="30">
        <v>6.26</v>
      </c>
      <c r="I28" s="30">
        <v>1.64</v>
      </c>
      <c r="J28" s="30">
        <v>4.62</v>
      </c>
      <c r="K28" s="25" t="s">
        <v>46</v>
      </c>
      <c r="L28" t="s">
        <v>27</v>
      </c>
      <c r="M28" s="30" t="str">
        <f t="shared" si="0"/>
        <v>Valid</v>
      </c>
      <c r="N28" s="30">
        <f t="shared" si="1"/>
        <v>1019.0095846645368</v>
      </c>
      <c r="O28" s="29">
        <f>_xlfn.XLOOKUP(D28,'Fleet Master'!$A$2:$A$9,'Fleet Master'!$D$2:$D$9)*H28</f>
        <v>300.48</v>
      </c>
      <c r="P28" t="str">
        <f t="shared" si="2"/>
        <v>Valid</v>
      </c>
      <c r="Q28" s="30">
        <f t="shared" si="3"/>
        <v>0.72566232951873333</v>
      </c>
    </row>
    <row r="29" spans="1:17" x14ac:dyDescent="0.3">
      <c r="A29" s="25" t="s">
        <v>46</v>
      </c>
      <c r="B29" t="s">
        <v>20</v>
      </c>
      <c r="C29" t="s">
        <v>30</v>
      </c>
      <c r="D29" t="s">
        <v>26</v>
      </c>
      <c r="E29" t="s">
        <v>27</v>
      </c>
      <c r="F29" s="29">
        <v>4466</v>
      </c>
      <c r="G29" s="29">
        <v>3023</v>
      </c>
      <c r="H29" s="30">
        <v>8.98</v>
      </c>
      <c r="I29" s="30">
        <v>0.75</v>
      </c>
      <c r="J29" s="30">
        <v>8.23</v>
      </c>
      <c r="K29" s="25" t="s">
        <v>46</v>
      </c>
      <c r="L29" t="s">
        <v>27</v>
      </c>
      <c r="M29" s="30" t="str">
        <f t="shared" si="0"/>
        <v>Valid</v>
      </c>
      <c r="N29" s="30">
        <f t="shared" si="1"/>
        <v>336.63697104677061</v>
      </c>
      <c r="O29" s="29">
        <f>_xlfn.XLOOKUP(D29,'Fleet Master'!$A$2:$A$9,'Fleet Master'!$D$2:$D$9)*H29</f>
        <v>431.04</v>
      </c>
      <c r="P29" t="str">
        <f t="shared" si="2"/>
        <v>Valid</v>
      </c>
      <c r="Q29" s="30">
        <f t="shared" si="3"/>
        <v>1.4773403903407212</v>
      </c>
    </row>
    <row r="30" spans="1:17" x14ac:dyDescent="0.3">
      <c r="A30" s="25" t="s">
        <v>46</v>
      </c>
      <c r="B30" t="s">
        <v>20</v>
      </c>
      <c r="C30" t="s">
        <v>21</v>
      </c>
      <c r="D30" t="s">
        <v>31</v>
      </c>
      <c r="E30" t="s">
        <v>23</v>
      </c>
      <c r="F30" s="29">
        <v>4466</v>
      </c>
      <c r="G30" s="29">
        <v>4358</v>
      </c>
      <c r="H30" s="30">
        <v>6.25</v>
      </c>
      <c r="I30" s="30">
        <v>0.94</v>
      </c>
      <c r="J30" s="30">
        <v>5.31</v>
      </c>
      <c r="K30" s="25" t="s">
        <v>46</v>
      </c>
      <c r="L30" t="s">
        <v>23</v>
      </c>
      <c r="M30" s="30" t="str">
        <f t="shared" si="0"/>
        <v>Valid</v>
      </c>
      <c r="N30" s="30">
        <f t="shared" si="1"/>
        <v>697.28</v>
      </c>
      <c r="O30" s="29">
        <f>_xlfn.XLOOKUP(D30,'Fleet Master'!$A$2:$A$9,'Fleet Master'!$D$2:$D$9)*H30</f>
        <v>281.25</v>
      </c>
      <c r="P30" t="str">
        <f t="shared" si="2"/>
        <v>Valid</v>
      </c>
      <c r="Q30" s="30">
        <f t="shared" si="3"/>
        <v>1.0247820100963745</v>
      </c>
    </row>
    <row r="31" spans="1:17" x14ac:dyDescent="0.3">
      <c r="A31" s="25" t="s">
        <v>70</v>
      </c>
      <c r="B31" t="s">
        <v>34</v>
      </c>
      <c r="C31" t="s">
        <v>25</v>
      </c>
      <c r="D31" t="s">
        <v>26</v>
      </c>
      <c r="E31" t="s">
        <v>27</v>
      </c>
      <c r="F31" s="29">
        <v>4108</v>
      </c>
      <c r="G31" s="29">
        <v>4099</v>
      </c>
      <c r="H31" s="30">
        <v>9.24</v>
      </c>
      <c r="I31" s="30">
        <v>1.82</v>
      </c>
      <c r="J31" s="30">
        <v>7.42</v>
      </c>
      <c r="K31" s="25" t="s">
        <v>70</v>
      </c>
      <c r="L31" t="s">
        <v>27</v>
      </c>
      <c r="M31" s="30" t="str">
        <f t="shared" si="0"/>
        <v>Valid</v>
      </c>
      <c r="N31" s="30">
        <f t="shared" si="1"/>
        <v>443.61471861471858</v>
      </c>
      <c r="O31" s="29">
        <f>_xlfn.XLOOKUP(D31,'Fleet Master'!$A$2:$A$9,'Fleet Master'!$D$2:$D$9)*H31</f>
        <v>443.52</v>
      </c>
      <c r="P31" t="str">
        <f t="shared" si="2"/>
        <v>Valid</v>
      </c>
      <c r="Q31" s="30">
        <f t="shared" si="3"/>
        <v>1.0021956574774336</v>
      </c>
    </row>
    <row r="32" spans="1:17" x14ac:dyDescent="0.3">
      <c r="A32" s="25" t="s">
        <v>57</v>
      </c>
      <c r="B32" t="s">
        <v>29</v>
      </c>
      <c r="C32" t="s">
        <v>25</v>
      </c>
      <c r="D32" t="s">
        <v>22</v>
      </c>
      <c r="E32" t="s">
        <v>23</v>
      </c>
      <c r="F32" s="29">
        <v>503</v>
      </c>
      <c r="G32" s="29">
        <v>3033</v>
      </c>
      <c r="H32" s="30">
        <v>7.33</v>
      </c>
      <c r="I32" s="30">
        <v>0.73</v>
      </c>
      <c r="J32" s="30">
        <v>6.6</v>
      </c>
      <c r="K32" s="25" t="s">
        <v>57</v>
      </c>
      <c r="L32" t="s">
        <v>23</v>
      </c>
      <c r="M32" s="30" t="str">
        <f t="shared" si="0"/>
        <v>Valid</v>
      </c>
      <c r="N32" s="30">
        <f t="shared" si="1"/>
        <v>413.77899045020462</v>
      </c>
      <c r="O32" s="29">
        <f>_xlfn.XLOOKUP(D32,'Fleet Master'!$A$2:$A$9,'Fleet Master'!$D$2:$D$9)*H32</f>
        <v>549.75</v>
      </c>
      <c r="P32" t="str">
        <f t="shared" si="2"/>
        <v>Valid</v>
      </c>
      <c r="Q32" s="30">
        <f t="shared" si="3"/>
        <v>0.16584240026376526</v>
      </c>
    </row>
    <row r="33" spans="1:17" x14ac:dyDescent="0.3">
      <c r="A33" s="25" t="s">
        <v>57</v>
      </c>
      <c r="B33" t="s">
        <v>29</v>
      </c>
      <c r="C33" t="s">
        <v>21</v>
      </c>
      <c r="D33" t="s">
        <v>31</v>
      </c>
      <c r="E33" t="s">
        <v>27</v>
      </c>
      <c r="F33" s="29">
        <v>8658</v>
      </c>
      <c r="G33" s="29">
        <v>999</v>
      </c>
      <c r="H33" s="30">
        <v>8.5399999999999991</v>
      </c>
      <c r="I33" s="30">
        <v>1.89</v>
      </c>
      <c r="J33" s="30">
        <v>6.65</v>
      </c>
      <c r="K33" s="25" t="s">
        <v>57</v>
      </c>
      <c r="L33" t="s">
        <v>27</v>
      </c>
      <c r="M33" s="30" t="str">
        <f t="shared" si="0"/>
        <v>Valid</v>
      </c>
      <c r="N33" s="30">
        <f t="shared" si="1"/>
        <v>116.97892271662765</v>
      </c>
      <c r="O33" s="29">
        <f>_xlfn.XLOOKUP(D33,'Fleet Master'!$A$2:$A$9,'Fleet Master'!$D$2:$D$9)*H33</f>
        <v>384.29999999999995</v>
      </c>
      <c r="P33" t="str">
        <f t="shared" si="2"/>
        <v>Valid</v>
      </c>
      <c r="Q33" s="30">
        <f t="shared" si="3"/>
        <v>8.6666666666666661</v>
      </c>
    </row>
    <row r="34" spans="1:17" x14ac:dyDescent="0.3">
      <c r="A34" s="25" t="s">
        <v>80</v>
      </c>
      <c r="B34" t="s">
        <v>29</v>
      </c>
      <c r="C34" t="s">
        <v>30</v>
      </c>
      <c r="D34" t="s">
        <v>31</v>
      </c>
      <c r="E34" t="s">
        <v>27</v>
      </c>
      <c r="F34" s="29">
        <v>2292</v>
      </c>
      <c r="G34" s="29">
        <v>254</v>
      </c>
      <c r="H34" s="30">
        <v>5.83</v>
      </c>
      <c r="I34" s="30">
        <v>1.8</v>
      </c>
      <c r="J34" s="30">
        <v>4.03</v>
      </c>
      <c r="K34" s="25" t="s">
        <v>80</v>
      </c>
      <c r="L34" t="s">
        <v>27</v>
      </c>
      <c r="M34" s="30" t="str">
        <f t="shared" si="0"/>
        <v>Valid</v>
      </c>
      <c r="N34" s="30">
        <f t="shared" si="1"/>
        <v>43.567753001715268</v>
      </c>
      <c r="O34" s="29">
        <f>_xlfn.XLOOKUP(D34,'Fleet Master'!$A$2:$A$9,'Fleet Master'!$D$2:$D$9)*H34</f>
        <v>262.35000000000002</v>
      </c>
      <c r="P34" t="str">
        <f t="shared" si="2"/>
        <v>Valid</v>
      </c>
      <c r="Q34" s="30">
        <f t="shared" si="3"/>
        <v>9.0236220472440944</v>
      </c>
    </row>
    <row r="35" spans="1:17" x14ac:dyDescent="0.3">
      <c r="A35" s="25" t="s">
        <v>80</v>
      </c>
      <c r="B35" t="s">
        <v>20</v>
      </c>
      <c r="C35" t="s">
        <v>25</v>
      </c>
      <c r="D35" t="s">
        <v>26</v>
      </c>
      <c r="E35" t="s">
        <v>27</v>
      </c>
      <c r="F35" s="29">
        <v>6094</v>
      </c>
      <c r="G35" s="29">
        <v>6929</v>
      </c>
      <c r="H35" s="30">
        <v>5.72</v>
      </c>
      <c r="I35" s="30">
        <v>0.89</v>
      </c>
      <c r="J35" s="30">
        <v>4.83</v>
      </c>
      <c r="K35" s="25" t="s">
        <v>80</v>
      </c>
      <c r="L35" t="s">
        <v>27</v>
      </c>
      <c r="M35" s="30" t="str">
        <f t="shared" si="0"/>
        <v>Valid</v>
      </c>
      <c r="N35" s="30">
        <f t="shared" si="1"/>
        <v>1211.3636363636365</v>
      </c>
      <c r="O35" s="29">
        <f>_xlfn.XLOOKUP(D35,'Fleet Master'!$A$2:$A$9,'Fleet Master'!$D$2:$D$9)*H35</f>
        <v>274.56</v>
      </c>
      <c r="P35" t="str">
        <f t="shared" si="2"/>
        <v>Valid</v>
      </c>
      <c r="Q35" s="30">
        <f t="shared" si="3"/>
        <v>0.87949199018617408</v>
      </c>
    </row>
    <row r="36" spans="1:17" x14ac:dyDescent="0.3">
      <c r="A36" s="25" t="s">
        <v>81</v>
      </c>
      <c r="B36" t="s">
        <v>20</v>
      </c>
      <c r="C36" t="s">
        <v>21</v>
      </c>
      <c r="D36" t="s">
        <v>22</v>
      </c>
      <c r="E36" t="s">
        <v>23</v>
      </c>
      <c r="F36" s="29">
        <v>4201</v>
      </c>
      <c r="G36" s="29">
        <v>5551</v>
      </c>
      <c r="H36" s="30">
        <v>8.7799999999999994</v>
      </c>
      <c r="I36" s="30">
        <v>0.88</v>
      </c>
      <c r="J36" s="30">
        <v>7.9</v>
      </c>
      <c r="K36" s="25" t="s">
        <v>81</v>
      </c>
      <c r="L36" t="s">
        <v>23</v>
      </c>
      <c r="M36" s="30" t="str">
        <f t="shared" si="0"/>
        <v>Valid</v>
      </c>
      <c r="N36" s="30">
        <f t="shared" si="1"/>
        <v>632.23234624145789</v>
      </c>
      <c r="O36" s="29">
        <f>_xlfn.XLOOKUP(D36,'Fleet Master'!$A$2:$A$9,'Fleet Master'!$D$2:$D$9)*H36</f>
        <v>658.5</v>
      </c>
      <c r="P36" t="str">
        <f t="shared" si="2"/>
        <v>Valid</v>
      </c>
      <c r="Q36" s="30">
        <f t="shared" si="3"/>
        <v>0.7568005764727076</v>
      </c>
    </row>
    <row r="37" spans="1:17" x14ac:dyDescent="0.3">
      <c r="A37" s="25" t="s">
        <v>81</v>
      </c>
      <c r="B37" t="s">
        <v>20</v>
      </c>
      <c r="C37" t="s">
        <v>21</v>
      </c>
      <c r="D37" t="s">
        <v>22</v>
      </c>
      <c r="E37" t="s">
        <v>23</v>
      </c>
      <c r="F37" s="29">
        <v>3700</v>
      </c>
      <c r="G37" s="29">
        <v>1372</v>
      </c>
      <c r="H37" s="30">
        <v>5.3</v>
      </c>
      <c r="I37" s="30">
        <v>0.91</v>
      </c>
      <c r="J37" s="30">
        <v>4.3899999999999997</v>
      </c>
      <c r="K37" s="25" t="s">
        <v>81</v>
      </c>
      <c r="L37" t="s">
        <v>23</v>
      </c>
      <c r="M37" s="30" t="str">
        <f t="shared" si="0"/>
        <v>Valid</v>
      </c>
      <c r="N37" s="30">
        <f t="shared" si="1"/>
        <v>258.8679245283019</v>
      </c>
      <c r="O37" s="29">
        <f>_xlfn.XLOOKUP(D37,'Fleet Master'!$A$2:$A$9,'Fleet Master'!$D$2:$D$9)*H37</f>
        <v>397.5</v>
      </c>
      <c r="P37" t="str">
        <f t="shared" si="2"/>
        <v>Valid</v>
      </c>
      <c r="Q37" s="30">
        <f t="shared" si="3"/>
        <v>2.6967930029154519</v>
      </c>
    </row>
    <row r="38" spans="1:17" x14ac:dyDescent="0.3">
      <c r="A38" s="25" t="s">
        <v>81</v>
      </c>
      <c r="B38" t="s">
        <v>34</v>
      </c>
      <c r="C38" t="s">
        <v>25</v>
      </c>
      <c r="D38" t="s">
        <v>26</v>
      </c>
      <c r="E38" t="s">
        <v>27</v>
      </c>
      <c r="F38" s="29">
        <v>2340</v>
      </c>
      <c r="G38" s="29">
        <v>5815</v>
      </c>
      <c r="H38" s="30">
        <v>4</v>
      </c>
      <c r="I38" s="30">
        <v>0.9</v>
      </c>
      <c r="J38" s="30">
        <v>3.1</v>
      </c>
      <c r="K38" s="25" t="s">
        <v>81</v>
      </c>
      <c r="L38" t="s">
        <v>27</v>
      </c>
      <c r="M38" s="30" t="str">
        <f t="shared" si="0"/>
        <v>Valid</v>
      </c>
      <c r="N38" s="30">
        <f t="shared" si="1"/>
        <v>1453.75</v>
      </c>
      <c r="O38" s="29">
        <f>_xlfn.XLOOKUP(D38,'Fleet Master'!$A$2:$A$9,'Fleet Master'!$D$2:$D$9)*H38</f>
        <v>192</v>
      </c>
      <c r="P38" t="str">
        <f t="shared" si="2"/>
        <v>Valid</v>
      </c>
      <c r="Q38" s="30">
        <f t="shared" si="3"/>
        <v>0.40240756663800514</v>
      </c>
    </row>
    <row r="39" spans="1:17" x14ac:dyDescent="0.3">
      <c r="A39" s="25" t="s">
        <v>95</v>
      </c>
      <c r="B39" t="s">
        <v>29</v>
      </c>
      <c r="C39" t="s">
        <v>25</v>
      </c>
      <c r="D39" t="s">
        <v>26</v>
      </c>
      <c r="E39" t="s">
        <v>23</v>
      </c>
      <c r="F39" s="29">
        <v>2608</v>
      </c>
      <c r="G39" s="29">
        <v>5513</v>
      </c>
      <c r="H39" s="30">
        <v>5.5</v>
      </c>
      <c r="I39" s="30">
        <v>0.89</v>
      </c>
      <c r="J39" s="30">
        <v>4.6100000000000003</v>
      </c>
      <c r="K39" s="25" t="s">
        <v>95</v>
      </c>
      <c r="L39" t="s">
        <v>23</v>
      </c>
      <c r="M39" s="30" t="str">
        <f t="shared" si="0"/>
        <v>Valid</v>
      </c>
      <c r="N39" s="30">
        <f t="shared" si="1"/>
        <v>1002.3636363636364</v>
      </c>
      <c r="O39" s="29">
        <f>_xlfn.XLOOKUP(D39,'Fleet Master'!$A$2:$A$9,'Fleet Master'!$D$2:$D$9)*H39</f>
        <v>264</v>
      </c>
      <c r="P39" t="str">
        <f t="shared" si="2"/>
        <v>Valid</v>
      </c>
      <c r="Q39" s="30">
        <f t="shared" si="3"/>
        <v>0.47306366769454017</v>
      </c>
    </row>
    <row r="40" spans="1:17" x14ac:dyDescent="0.3">
      <c r="A40" s="25" t="s">
        <v>53</v>
      </c>
      <c r="B40" t="s">
        <v>20</v>
      </c>
      <c r="C40" t="s">
        <v>21</v>
      </c>
      <c r="D40" t="s">
        <v>26</v>
      </c>
      <c r="E40" t="s">
        <v>27</v>
      </c>
      <c r="F40" s="29">
        <v>5614</v>
      </c>
      <c r="G40" s="29">
        <v>5347</v>
      </c>
      <c r="H40" s="30">
        <v>7.83</v>
      </c>
      <c r="I40" s="30">
        <v>1.99</v>
      </c>
      <c r="J40" s="30">
        <v>5.84</v>
      </c>
      <c r="K40" s="25" t="s">
        <v>53</v>
      </c>
      <c r="L40" t="s">
        <v>27</v>
      </c>
      <c r="M40" s="30" t="str">
        <f t="shared" si="0"/>
        <v>Valid</v>
      </c>
      <c r="N40" s="30">
        <f t="shared" si="1"/>
        <v>682.88633461047255</v>
      </c>
      <c r="O40" s="29">
        <f>_xlfn.XLOOKUP(D40,'Fleet Master'!$A$2:$A$9,'Fleet Master'!$D$2:$D$9)*H40</f>
        <v>375.84000000000003</v>
      </c>
      <c r="P40" t="str">
        <f t="shared" si="2"/>
        <v>Valid</v>
      </c>
      <c r="Q40" s="30">
        <f t="shared" si="3"/>
        <v>1.0499345427342435</v>
      </c>
    </row>
    <row r="41" spans="1:17" x14ac:dyDescent="0.3">
      <c r="A41" s="25" t="s">
        <v>40</v>
      </c>
      <c r="B41" t="s">
        <v>20</v>
      </c>
      <c r="C41" t="s">
        <v>30</v>
      </c>
      <c r="D41" t="s">
        <v>22</v>
      </c>
      <c r="E41" t="s">
        <v>27</v>
      </c>
      <c r="F41" s="29">
        <v>6057</v>
      </c>
      <c r="G41" s="29">
        <v>1189</v>
      </c>
      <c r="H41" s="30">
        <v>5.46</v>
      </c>
      <c r="I41" s="30">
        <v>0.62</v>
      </c>
      <c r="J41" s="30">
        <v>4.84</v>
      </c>
      <c r="K41" s="25" t="s">
        <v>40</v>
      </c>
      <c r="L41" t="s">
        <v>27</v>
      </c>
      <c r="M41" s="30" t="str">
        <f t="shared" si="0"/>
        <v>Valid</v>
      </c>
      <c r="N41" s="30">
        <f t="shared" si="1"/>
        <v>217.76556776556777</v>
      </c>
      <c r="O41" s="29">
        <f>_xlfn.XLOOKUP(D41,'Fleet Master'!$A$2:$A$9,'Fleet Master'!$D$2:$D$9)*H41</f>
        <v>409.5</v>
      </c>
      <c r="P41" t="str">
        <f t="shared" si="2"/>
        <v>Valid</v>
      </c>
      <c r="Q41" s="30">
        <f t="shared" si="3"/>
        <v>5.094196804037006</v>
      </c>
    </row>
    <row r="42" spans="1:17" x14ac:dyDescent="0.3">
      <c r="A42" s="25" t="s">
        <v>40</v>
      </c>
      <c r="B42" t="s">
        <v>20</v>
      </c>
      <c r="C42" t="s">
        <v>25</v>
      </c>
      <c r="D42" t="s">
        <v>22</v>
      </c>
      <c r="E42" t="s">
        <v>23</v>
      </c>
      <c r="F42" s="29">
        <v>996</v>
      </c>
      <c r="G42" s="29">
        <v>3003</v>
      </c>
      <c r="H42" s="30">
        <v>6.17</v>
      </c>
      <c r="I42" s="30">
        <v>0.08</v>
      </c>
      <c r="J42" s="30">
        <v>6.09</v>
      </c>
      <c r="K42" s="25" t="s">
        <v>40</v>
      </c>
      <c r="L42" t="s">
        <v>23</v>
      </c>
      <c r="M42" s="30" t="str">
        <f t="shared" si="0"/>
        <v>Valid</v>
      </c>
      <c r="N42" s="30">
        <f t="shared" si="1"/>
        <v>486.709886547812</v>
      </c>
      <c r="O42" s="29">
        <f>_xlfn.XLOOKUP(D42,'Fleet Master'!$A$2:$A$9,'Fleet Master'!$D$2:$D$9)*H42</f>
        <v>462.75</v>
      </c>
      <c r="P42" t="str">
        <f t="shared" si="2"/>
        <v>Valid</v>
      </c>
      <c r="Q42" s="30">
        <f t="shared" si="3"/>
        <v>0.33166833166833165</v>
      </c>
    </row>
    <row r="43" spans="1:17" x14ac:dyDescent="0.3">
      <c r="A43" s="25" t="s">
        <v>40</v>
      </c>
      <c r="B43" t="s">
        <v>20</v>
      </c>
      <c r="C43" t="s">
        <v>30</v>
      </c>
      <c r="D43" t="s">
        <v>31</v>
      </c>
      <c r="E43" t="s">
        <v>27</v>
      </c>
      <c r="F43" s="29">
        <v>2855</v>
      </c>
      <c r="G43" s="29">
        <v>4934</v>
      </c>
      <c r="H43" s="30">
        <v>6.41</v>
      </c>
      <c r="I43" s="30">
        <v>0.85</v>
      </c>
      <c r="J43" s="30">
        <v>5.56</v>
      </c>
      <c r="K43" s="25" t="s">
        <v>40</v>
      </c>
      <c r="L43" t="s">
        <v>27</v>
      </c>
      <c r="M43" s="30" t="str">
        <f t="shared" si="0"/>
        <v>Valid</v>
      </c>
      <c r="N43" s="30">
        <f t="shared" si="1"/>
        <v>769.73478939157565</v>
      </c>
      <c r="O43" s="29">
        <f>_xlfn.XLOOKUP(D43,'Fleet Master'!$A$2:$A$9,'Fleet Master'!$D$2:$D$9)*H43</f>
        <v>288.45</v>
      </c>
      <c r="P43" t="str">
        <f t="shared" si="2"/>
        <v>Valid</v>
      </c>
      <c r="Q43" s="30">
        <f t="shared" si="3"/>
        <v>0.57863802188893387</v>
      </c>
    </row>
    <row r="44" spans="1:17" x14ac:dyDescent="0.3">
      <c r="A44" s="25" t="s">
        <v>72</v>
      </c>
      <c r="B44" t="s">
        <v>34</v>
      </c>
      <c r="C44" t="s">
        <v>25</v>
      </c>
      <c r="D44" t="s">
        <v>22</v>
      </c>
      <c r="E44" t="s">
        <v>27</v>
      </c>
      <c r="F44" s="29">
        <v>6106</v>
      </c>
      <c r="G44" s="29">
        <v>4221</v>
      </c>
      <c r="H44" s="30">
        <v>8.32</v>
      </c>
      <c r="I44" s="30">
        <v>1.94</v>
      </c>
      <c r="J44" s="30">
        <v>6.38</v>
      </c>
      <c r="K44" s="25" t="s">
        <v>72</v>
      </c>
      <c r="L44" t="s">
        <v>27</v>
      </c>
      <c r="M44" s="30" t="str">
        <f t="shared" si="0"/>
        <v>Valid</v>
      </c>
      <c r="N44" s="30">
        <f t="shared" si="1"/>
        <v>507.33173076923077</v>
      </c>
      <c r="O44" s="29">
        <f>_xlfn.XLOOKUP(D44,'Fleet Master'!$A$2:$A$9,'Fleet Master'!$D$2:$D$9)*H44</f>
        <v>624</v>
      </c>
      <c r="P44" t="str">
        <f t="shared" si="2"/>
        <v>Valid</v>
      </c>
      <c r="Q44" s="30">
        <f t="shared" si="3"/>
        <v>1.4465766406064913</v>
      </c>
    </row>
    <row r="45" spans="1:17" x14ac:dyDescent="0.3">
      <c r="A45" s="25" t="s">
        <v>72</v>
      </c>
      <c r="B45" t="s">
        <v>20</v>
      </c>
      <c r="C45" t="s">
        <v>30</v>
      </c>
      <c r="D45" t="s">
        <v>22</v>
      </c>
      <c r="E45" t="s">
        <v>23</v>
      </c>
      <c r="F45" s="29">
        <v>6073</v>
      </c>
      <c r="G45" s="29">
        <v>3081</v>
      </c>
      <c r="H45" s="30">
        <v>4.07</v>
      </c>
      <c r="I45" s="30">
        <v>1.22</v>
      </c>
      <c r="J45" s="30">
        <v>2.85</v>
      </c>
      <c r="K45" s="25" t="s">
        <v>72</v>
      </c>
      <c r="L45" t="s">
        <v>23</v>
      </c>
      <c r="M45" s="30" t="str">
        <f t="shared" si="0"/>
        <v>Valid</v>
      </c>
      <c r="N45" s="30">
        <f t="shared" si="1"/>
        <v>757.00245700245694</v>
      </c>
      <c r="O45" s="29">
        <f>_xlfn.XLOOKUP(D45,'Fleet Master'!$A$2:$A$9,'Fleet Master'!$D$2:$D$9)*H45</f>
        <v>305.25</v>
      </c>
      <c r="P45" t="str">
        <f t="shared" si="2"/>
        <v>Valid</v>
      </c>
      <c r="Q45" s="30">
        <f t="shared" si="3"/>
        <v>1.9711132749107432</v>
      </c>
    </row>
    <row r="46" spans="1:17" x14ac:dyDescent="0.3">
      <c r="A46" s="25" t="s">
        <v>78</v>
      </c>
      <c r="B46" t="s">
        <v>34</v>
      </c>
      <c r="C46" t="s">
        <v>30</v>
      </c>
      <c r="D46" t="s">
        <v>22</v>
      </c>
      <c r="E46" t="s">
        <v>27</v>
      </c>
      <c r="F46" s="29">
        <v>7956</v>
      </c>
      <c r="G46" s="29">
        <v>1862</v>
      </c>
      <c r="H46" s="30">
        <v>9.42</v>
      </c>
      <c r="I46" s="30">
        <v>0.59</v>
      </c>
      <c r="J46" s="30">
        <v>8.83</v>
      </c>
      <c r="K46" s="25" t="s">
        <v>78</v>
      </c>
      <c r="L46" t="s">
        <v>27</v>
      </c>
      <c r="M46" s="30" t="str">
        <f t="shared" si="0"/>
        <v>Valid</v>
      </c>
      <c r="N46" s="30">
        <f t="shared" si="1"/>
        <v>197.66454352441613</v>
      </c>
      <c r="O46" s="29">
        <f>_xlfn.XLOOKUP(D46,'Fleet Master'!$A$2:$A$9,'Fleet Master'!$D$2:$D$9)*H46</f>
        <v>706.5</v>
      </c>
      <c r="P46" t="str">
        <f t="shared" si="2"/>
        <v>Valid</v>
      </c>
      <c r="Q46" s="30">
        <f t="shared" si="3"/>
        <v>4.2728249194414607</v>
      </c>
    </row>
    <row r="47" spans="1:17" x14ac:dyDescent="0.3">
      <c r="A47" s="25" t="s">
        <v>78</v>
      </c>
      <c r="B47" t="s">
        <v>34</v>
      </c>
      <c r="C47" t="s">
        <v>30</v>
      </c>
      <c r="D47" t="s">
        <v>31</v>
      </c>
      <c r="E47" t="s">
        <v>23</v>
      </c>
      <c r="F47" s="29">
        <v>4811</v>
      </c>
      <c r="G47" s="29">
        <v>6781</v>
      </c>
      <c r="H47" s="30">
        <v>4.1100000000000003</v>
      </c>
      <c r="I47" s="30">
        <v>0.7</v>
      </c>
      <c r="J47" s="30">
        <v>3.41</v>
      </c>
      <c r="K47" s="25" t="s">
        <v>78</v>
      </c>
      <c r="L47" t="s">
        <v>23</v>
      </c>
      <c r="M47" s="30" t="str">
        <f t="shared" si="0"/>
        <v>Valid</v>
      </c>
      <c r="N47" s="30">
        <f t="shared" si="1"/>
        <v>1649.8783454987833</v>
      </c>
      <c r="O47" s="29">
        <f>_xlfn.XLOOKUP(D47,'Fleet Master'!$A$2:$A$9,'Fleet Master'!$D$2:$D$9)*H47</f>
        <v>184.95000000000002</v>
      </c>
      <c r="P47" t="str">
        <f t="shared" si="2"/>
        <v>Valid</v>
      </c>
      <c r="Q47" s="30">
        <f t="shared" si="3"/>
        <v>0.70948237723049701</v>
      </c>
    </row>
    <row r="48" spans="1:17" x14ac:dyDescent="0.3">
      <c r="A48" s="25" t="s">
        <v>78</v>
      </c>
      <c r="B48" t="s">
        <v>34</v>
      </c>
      <c r="C48" t="s">
        <v>25</v>
      </c>
      <c r="D48" t="s">
        <v>22</v>
      </c>
      <c r="E48" t="s">
        <v>23</v>
      </c>
      <c r="F48" s="29">
        <v>7640</v>
      </c>
      <c r="G48" s="29">
        <v>2928</v>
      </c>
      <c r="H48" s="30">
        <v>7.8</v>
      </c>
      <c r="I48" s="30">
        <v>0.93</v>
      </c>
      <c r="J48" s="30">
        <v>6.87</v>
      </c>
      <c r="K48" s="25" t="s">
        <v>78</v>
      </c>
      <c r="L48" t="s">
        <v>23</v>
      </c>
      <c r="M48" s="30" t="str">
        <f t="shared" si="0"/>
        <v>Valid</v>
      </c>
      <c r="N48" s="30">
        <f t="shared" si="1"/>
        <v>375.38461538461542</v>
      </c>
      <c r="O48" s="29">
        <f>_xlfn.XLOOKUP(D48,'Fleet Master'!$A$2:$A$9,'Fleet Master'!$D$2:$D$9)*H48</f>
        <v>585</v>
      </c>
      <c r="P48" t="str">
        <f t="shared" si="2"/>
        <v>Valid</v>
      </c>
      <c r="Q48" s="30">
        <f t="shared" si="3"/>
        <v>2.6092896174863389</v>
      </c>
    </row>
    <row r="49" spans="1:17" x14ac:dyDescent="0.3">
      <c r="A49" s="25" t="s">
        <v>84</v>
      </c>
      <c r="B49" t="s">
        <v>29</v>
      </c>
      <c r="C49" t="s">
        <v>25</v>
      </c>
      <c r="D49" t="s">
        <v>26</v>
      </c>
      <c r="E49" t="s">
        <v>23</v>
      </c>
      <c r="F49" s="29">
        <v>3761</v>
      </c>
      <c r="G49" s="29">
        <v>658</v>
      </c>
      <c r="H49" s="30">
        <v>9.94</v>
      </c>
      <c r="I49" s="30">
        <v>1.99</v>
      </c>
      <c r="J49" s="30">
        <v>7.95</v>
      </c>
      <c r="K49" s="25" t="s">
        <v>84</v>
      </c>
      <c r="L49" t="s">
        <v>23</v>
      </c>
      <c r="M49" s="30" t="str">
        <f t="shared" si="0"/>
        <v>Valid</v>
      </c>
      <c r="N49" s="30">
        <f t="shared" si="1"/>
        <v>66.197183098591552</v>
      </c>
      <c r="O49" s="29">
        <f>_xlfn.XLOOKUP(D49,'Fleet Master'!$A$2:$A$9,'Fleet Master'!$D$2:$D$9)*H49</f>
        <v>477.12</v>
      </c>
      <c r="P49" t="str">
        <f t="shared" si="2"/>
        <v>Valid</v>
      </c>
      <c r="Q49" s="30">
        <f t="shared" si="3"/>
        <v>5.7158054711246198</v>
      </c>
    </row>
    <row r="50" spans="1:17" x14ac:dyDescent="0.3">
      <c r="A50" s="25" t="s">
        <v>84</v>
      </c>
      <c r="B50" t="s">
        <v>29</v>
      </c>
      <c r="C50" t="s">
        <v>25</v>
      </c>
      <c r="D50" t="s">
        <v>26</v>
      </c>
      <c r="E50" t="s">
        <v>23</v>
      </c>
      <c r="F50" s="29">
        <v>8898</v>
      </c>
      <c r="G50" s="29">
        <v>6758</v>
      </c>
      <c r="H50" s="30">
        <v>4.04</v>
      </c>
      <c r="I50" s="30">
        <v>1.89</v>
      </c>
      <c r="J50" s="30">
        <v>2.15</v>
      </c>
      <c r="K50" s="25" t="s">
        <v>84</v>
      </c>
      <c r="L50" t="s">
        <v>23</v>
      </c>
      <c r="M50" s="30" t="str">
        <f t="shared" si="0"/>
        <v>Valid</v>
      </c>
      <c r="N50" s="30">
        <f t="shared" si="1"/>
        <v>1672.7722772277227</v>
      </c>
      <c r="O50" s="29">
        <f>_xlfn.XLOOKUP(D50,'Fleet Master'!$A$2:$A$9,'Fleet Master'!$D$2:$D$9)*H50</f>
        <v>193.92000000000002</v>
      </c>
      <c r="P50" t="str">
        <f t="shared" si="2"/>
        <v>Valid</v>
      </c>
      <c r="Q50" s="30">
        <f t="shared" si="3"/>
        <v>1.3166617342408997</v>
      </c>
    </row>
    <row r="51" spans="1:17" x14ac:dyDescent="0.3">
      <c r="A51" s="25" t="s">
        <v>49</v>
      </c>
      <c r="B51" t="s">
        <v>29</v>
      </c>
      <c r="C51" t="s">
        <v>25</v>
      </c>
      <c r="D51" t="s">
        <v>26</v>
      </c>
      <c r="E51" t="s">
        <v>23</v>
      </c>
      <c r="F51" s="29">
        <v>8058</v>
      </c>
      <c r="G51" s="29">
        <v>566</v>
      </c>
      <c r="H51" s="30">
        <v>4.13</v>
      </c>
      <c r="I51" s="30">
        <v>1.05</v>
      </c>
      <c r="J51" s="30">
        <v>3.08</v>
      </c>
      <c r="K51" s="25" t="s">
        <v>49</v>
      </c>
      <c r="L51" t="s">
        <v>23</v>
      </c>
      <c r="M51" s="30" t="str">
        <f t="shared" si="0"/>
        <v>Valid</v>
      </c>
      <c r="N51" s="30">
        <f t="shared" si="1"/>
        <v>137.04600484261502</v>
      </c>
      <c r="O51" s="29">
        <f>_xlfn.XLOOKUP(D51,'Fleet Master'!$A$2:$A$9,'Fleet Master'!$D$2:$D$9)*H51</f>
        <v>198.24</v>
      </c>
      <c r="P51" t="str">
        <f t="shared" si="2"/>
        <v>Valid</v>
      </c>
      <c r="Q51" s="30">
        <f t="shared" si="3"/>
        <v>14.236749116607774</v>
      </c>
    </row>
    <row r="52" spans="1:17" x14ac:dyDescent="0.3">
      <c r="A52" s="25" t="s">
        <v>93</v>
      </c>
      <c r="B52" t="s">
        <v>34</v>
      </c>
      <c r="C52" t="s">
        <v>25</v>
      </c>
      <c r="D52" t="s">
        <v>26</v>
      </c>
      <c r="E52" t="s">
        <v>23</v>
      </c>
      <c r="F52" s="29">
        <v>7822</v>
      </c>
      <c r="G52" s="29">
        <v>5097</v>
      </c>
      <c r="H52" s="30">
        <v>4.3600000000000003</v>
      </c>
      <c r="I52" s="30">
        <v>0.59</v>
      </c>
      <c r="J52" s="30">
        <v>3.77</v>
      </c>
      <c r="K52" s="25" t="s">
        <v>93</v>
      </c>
      <c r="L52" t="s">
        <v>23</v>
      </c>
      <c r="M52" s="30" t="str">
        <f t="shared" si="0"/>
        <v>Valid</v>
      </c>
      <c r="N52" s="30">
        <f t="shared" si="1"/>
        <v>1169.0366972477063</v>
      </c>
      <c r="O52" s="29">
        <f>_xlfn.XLOOKUP(D52,'Fleet Master'!$A$2:$A$9,'Fleet Master'!$D$2:$D$9)*H52</f>
        <v>209.28000000000003</v>
      </c>
      <c r="P52" t="str">
        <f t="shared" si="2"/>
        <v>Valid</v>
      </c>
      <c r="Q52" s="30">
        <f t="shared" si="3"/>
        <v>1.534628212674122</v>
      </c>
    </row>
    <row r="53" spans="1:17" x14ac:dyDescent="0.3">
      <c r="A53" s="25" t="s">
        <v>86</v>
      </c>
      <c r="B53" t="s">
        <v>29</v>
      </c>
      <c r="C53" t="s">
        <v>25</v>
      </c>
      <c r="D53" t="s">
        <v>22</v>
      </c>
      <c r="E53" t="s">
        <v>27</v>
      </c>
      <c r="F53" s="29">
        <v>8329</v>
      </c>
      <c r="G53" s="29">
        <v>2392</v>
      </c>
      <c r="H53" s="30">
        <v>4.1900000000000004</v>
      </c>
      <c r="I53" s="30">
        <v>1.1499999999999999</v>
      </c>
      <c r="J53" s="30">
        <v>3.04</v>
      </c>
      <c r="K53" s="25" t="s">
        <v>86</v>
      </c>
      <c r="L53" t="s">
        <v>27</v>
      </c>
      <c r="M53" s="30" t="str">
        <f t="shared" si="0"/>
        <v>Valid</v>
      </c>
      <c r="N53" s="30">
        <f t="shared" si="1"/>
        <v>570.88305489260142</v>
      </c>
      <c r="O53" s="29">
        <f>_xlfn.XLOOKUP(D53,'Fleet Master'!$A$2:$A$9,'Fleet Master'!$D$2:$D$9)*H53</f>
        <v>314.25000000000006</v>
      </c>
      <c r="P53" t="str">
        <f t="shared" si="2"/>
        <v>Valid</v>
      </c>
      <c r="Q53" s="30">
        <f t="shared" si="3"/>
        <v>3.4820234113712374</v>
      </c>
    </row>
    <row r="54" spans="1:17" x14ac:dyDescent="0.3">
      <c r="A54" s="25" t="s">
        <v>58</v>
      </c>
      <c r="B54" t="s">
        <v>34</v>
      </c>
      <c r="C54" t="s">
        <v>21</v>
      </c>
      <c r="D54" t="s">
        <v>26</v>
      </c>
      <c r="E54" t="s">
        <v>23</v>
      </c>
      <c r="F54" s="29">
        <v>3030</v>
      </c>
      <c r="G54" s="29">
        <v>364</v>
      </c>
      <c r="H54" s="30">
        <v>9.1199999999999992</v>
      </c>
      <c r="I54" s="30">
        <v>1.56</v>
      </c>
      <c r="J54" s="30">
        <v>7.56</v>
      </c>
      <c r="K54" s="25" t="s">
        <v>58</v>
      </c>
      <c r="L54" t="s">
        <v>23</v>
      </c>
      <c r="M54" s="30" t="str">
        <f t="shared" si="0"/>
        <v>Valid</v>
      </c>
      <c r="N54" s="30">
        <f t="shared" si="1"/>
        <v>39.912280701754391</v>
      </c>
      <c r="O54" s="29">
        <f>_xlfn.XLOOKUP(D54,'Fleet Master'!$A$2:$A$9,'Fleet Master'!$D$2:$D$9)*H54</f>
        <v>437.76</v>
      </c>
      <c r="P54" t="str">
        <f t="shared" si="2"/>
        <v>Valid</v>
      </c>
      <c r="Q54" s="30">
        <f t="shared" si="3"/>
        <v>8.3241758241758248</v>
      </c>
    </row>
    <row r="55" spans="1:17" x14ac:dyDescent="0.3">
      <c r="A55" s="25" t="s">
        <v>58</v>
      </c>
      <c r="B55" t="s">
        <v>29</v>
      </c>
      <c r="C55" t="s">
        <v>21</v>
      </c>
      <c r="D55" t="s">
        <v>26</v>
      </c>
      <c r="E55" t="s">
        <v>27</v>
      </c>
      <c r="F55" s="29">
        <v>1919</v>
      </c>
      <c r="G55" s="29">
        <v>4940</v>
      </c>
      <c r="H55" s="30">
        <v>8.64</v>
      </c>
      <c r="I55" s="30">
        <v>1.86</v>
      </c>
      <c r="J55" s="30">
        <v>6.78</v>
      </c>
      <c r="K55" s="25" t="s">
        <v>58</v>
      </c>
      <c r="L55" t="s">
        <v>27</v>
      </c>
      <c r="M55" s="30" t="str">
        <f t="shared" si="0"/>
        <v>Valid</v>
      </c>
      <c r="N55" s="30">
        <f t="shared" si="1"/>
        <v>571.75925925925924</v>
      </c>
      <c r="O55" s="29">
        <f>_xlfn.XLOOKUP(D55,'Fleet Master'!$A$2:$A$9,'Fleet Master'!$D$2:$D$9)*H55</f>
        <v>414.72</v>
      </c>
      <c r="P55" t="str">
        <f t="shared" si="2"/>
        <v>Valid</v>
      </c>
      <c r="Q55" s="30">
        <f t="shared" si="3"/>
        <v>0.38846153846153847</v>
      </c>
    </row>
    <row r="56" spans="1:17" x14ac:dyDescent="0.3">
      <c r="A56" s="25" t="s">
        <v>58</v>
      </c>
      <c r="B56" t="s">
        <v>34</v>
      </c>
      <c r="C56" t="s">
        <v>30</v>
      </c>
      <c r="D56" t="s">
        <v>26</v>
      </c>
      <c r="E56" t="s">
        <v>23</v>
      </c>
      <c r="F56" s="29">
        <v>359</v>
      </c>
      <c r="G56" s="29">
        <v>1439</v>
      </c>
      <c r="H56" s="30">
        <v>6.72</v>
      </c>
      <c r="I56" s="30">
        <v>0.56000000000000005</v>
      </c>
      <c r="J56" s="30">
        <v>6.16</v>
      </c>
      <c r="K56" s="25" t="s">
        <v>58</v>
      </c>
      <c r="L56" t="s">
        <v>23</v>
      </c>
      <c r="M56" s="30" t="str">
        <f t="shared" si="0"/>
        <v>Valid</v>
      </c>
      <c r="N56" s="30">
        <f t="shared" si="1"/>
        <v>214.13690476190476</v>
      </c>
      <c r="O56" s="29">
        <f>_xlfn.XLOOKUP(D56,'Fleet Master'!$A$2:$A$9,'Fleet Master'!$D$2:$D$9)*H56</f>
        <v>322.56</v>
      </c>
      <c r="P56" t="str">
        <f t="shared" si="2"/>
        <v>Valid</v>
      </c>
      <c r="Q56" s="30">
        <f t="shared" si="3"/>
        <v>0.24947880472550382</v>
      </c>
    </row>
    <row r="57" spans="1:17" x14ac:dyDescent="0.3">
      <c r="A57" s="25" t="s">
        <v>52</v>
      </c>
      <c r="B57" t="s">
        <v>34</v>
      </c>
      <c r="C57" t="s">
        <v>30</v>
      </c>
      <c r="D57" t="s">
        <v>26</v>
      </c>
      <c r="E57" t="s">
        <v>23</v>
      </c>
      <c r="F57" s="29">
        <v>1823</v>
      </c>
      <c r="G57" s="29">
        <v>5292</v>
      </c>
      <c r="H57" s="30">
        <v>7.1</v>
      </c>
      <c r="I57" s="30">
        <v>0.34</v>
      </c>
      <c r="J57" s="30">
        <v>6.76</v>
      </c>
      <c r="K57" s="25" t="s">
        <v>58</v>
      </c>
      <c r="L57" t="s">
        <v>23</v>
      </c>
      <c r="M57" s="30" t="str">
        <f t="shared" si="0"/>
        <v>Valid</v>
      </c>
      <c r="N57" s="30">
        <f t="shared" si="1"/>
        <v>745.35211267605632</v>
      </c>
      <c r="O57" s="29">
        <f>_xlfn.XLOOKUP(D57,'Fleet Master'!$A$2:$A$9,'Fleet Master'!$D$2:$D$9)*H57</f>
        <v>340.79999999999995</v>
      </c>
      <c r="P57" t="str">
        <f t="shared" si="2"/>
        <v>Valid</v>
      </c>
      <c r="Q57" s="30">
        <f t="shared" si="3"/>
        <v>0.34448223733938022</v>
      </c>
    </row>
    <row r="58" spans="1:17" x14ac:dyDescent="0.3">
      <c r="A58" s="25" t="s">
        <v>41</v>
      </c>
      <c r="B58" t="s">
        <v>20</v>
      </c>
      <c r="C58" t="s">
        <v>25</v>
      </c>
      <c r="D58" t="s">
        <v>22</v>
      </c>
      <c r="E58" t="s">
        <v>27</v>
      </c>
      <c r="F58" s="29">
        <v>370</v>
      </c>
      <c r="G58" s="29">
        <v>4190</v>
      </c>
      <c r="H58" s="30">
        <v>5.74</v>
      </c>
      <c r="I58" s="30">
        <v>1.6</v>
      </c>
      <c r="J58" s="30">
        <v>4.1399999999999997</v>
      </c>
      <c r="K58" s="25" t="s">
        <v>41</v>
      </c>
      <c r="L58" t="s">
        <v>27</v>
      </c>
      <c r="M58" s="30" t="str">
        <f t="shared" si="0"/>
        <v>Valid</v>
      </c>
      <c r="N58" s="30">
        <f t="shared" si="1"/>
        <v>729.96515679442507</v>
      </c>
      <c r="O58" s="29">
        <f>_xlfn.XLOOKUP(D58,'Fleet Master'!$A$2:$A$9,'Fleet Master'!$D$2:$D$9)*H58</f>
        <v>430.5</v>
      </c>
      <c r="P58" t="str">
        <f t="shared" si="2"/>
        <v>Valid</v>
      </c>
      <c r="Q58" s="30">
        <f t="shared" si="3"/>
        <v>8.83054892601432E-2</v>
      </c>
    </row>
    <row r="59" spans="1:17" x14ac:dyDescent="0.3">
      <c r="A59" s="25" t="s">
        <v>41</v>
      </c>
      <c r="B59" t="s">
        <v>29</v>
      </c>
      <c r="C59" t="s">
        <v>25</v>
      </c>
      <c r="D59" t="s">
        <v>31</v>
      </c>
      <c r="E59" t="s">
        <v>23</v>
      </c>
      <c r="F59" s="29">
        <v>502</v>
      </c>
      <c r="G59" s="29">
        <v>4102</v>
      </c>
      <c r="H59" s="30">
        <v>5.37</v>
      </c>
      <c r="I59" s="30">
        <v>0.34</v>
      </c>
      <c r="J59" s="30">
        <v>5.03</v>
      </c>
      <c r="K59" s="25" t="s">
        <v>41</v>
      </c>
      <c r="L59" t="s">
        <v>23</v>
      </c>
      <c r="M59" s="30" t="str">
        <f t="shared" si="0"/>
        <v>Valid</v>
      </c>
      <c r="N59" s="30">
        <f t="shared" si="1"/>
        <v>763.87337057728121</v>
      </c>
      <c r="O59" s="29">
        <f>_xlfn.XLOOKUP(D59,'Fleet Master'!$A$2:$A$9,'Fleet Master'!$D$2:$D$9)*H59</f>
        <v>241.65</v>
      </c>
      <c r="P59" t="str">
        <f t="shared" si="2"/>
        <v>Valid</v>
      </c>
      <c r="Q59" s="30">
        <f t="shared" si="3"/>
        <v>0.12237932715748416</v>
      </c>
    </row>
    <row r="60" spans="1:17" x14ac:dyDescent="0.3">
      <c r="A60" s="25" t="s">
        <v>45</v>
      </c>
      <c r="B60" t="s">
        <v>34</v>
      </c>
      <c r="C60" t="s">
        <v>21</v>
      </c>
      <c r="D60" t="s">
        <v>26</v>
      </c>
      <c r="E60" t="s">
        <v>32</v>
      </c>
      <c r="F60" s="29">
        <v>5695</v>
      </c>
      <c r="G60" s="29">
        <v>2158</v>
      </c>
      <c r="H60" s="30">
        <v>9.1300000000000008</v>
      </c>
      <c r="I60" s="30">
        <v>0.94</v>
      </c>
      <c r="J60" s="30">
        <v>8.19</v>
      </c>
      <c r="K60" s="25" t="s">
        <v>45</v>
      </c>
      <c r="L60" t="s">
        <v>23</v>
      </c>
      <c r="M60" s="30" t="str">
        <f t="shared" si="0"/>
        <v>Valid</v>
      </c>
      <c r="N60" s="30">
        <f t="shared" si="1"/>
        <v>236.36363636363635</v>
      </c>
      <c r="O60" s="29">
        <f>_xlfn.XLOOKUP(D60,'Fleet Master'!$A$2:$A$9,'Fleet Master'!$D$2:$D$9)*H60</f>
        <v>438.24</v>
      </c>
      <c r="P60" t="str">
        <f t="shared" si="2"/>
        <v>Valid</v>
      </c>
      <c r="Q60" s="30">
        <f t="shared" si="3"/>
        <v>2.6390176088971269</v>
      </c>
    </row>
    <row r="61" spans="1:17" x14ac:dyDescent="0.3">
      <c r="A61" s="25" t="s">
        <v>45</v>
      </c>
      <c r="B61" t="s">
        <v>34</v>
      </c>
      <c r="C61" t="s">
        <v>25</v>
      </c>
      <c r="D61" t="s">
        <v>22</v>
      </c>
      <c r="E61" t="s">
        <v>23</v>
      </c>
      <c r="F61" s="29">
        <v>173</v>
      </c>
      <c r="G61" s="29">
        <v>1404</v>
      </c>
      <c r="H61" s="30">
        <v>5.4</v>
      </c>
      <c r="I61" s="30">
        <v>1.41</v>
      </c>
      <c r="J61" s="30">
        <v>3.99</v>
      </c>
      <c r="K61" s="25" t="s">
        <v>45</v>
      </c>
      <c r="L61" t="s">
        <v>23</v>
      </c>
      <c r="M61" s="30" t="str">
        <f t="shared" si="0"/>
        <v>Valid</v>
      </c>
      <c r="N61" s="30">
        <f t="shared" si="1"/>
        <v>260</v>
      </c>
      <c r="O61" s="29">
        <f>_xlfn.XLOOKUP(D61,'Fleet Master'!$A$2:$A$9,'Fleet Master'!$D$2:$D$9)*H61</f>
        <v>405</v>
      </c>
      <c r="P61" t="str">
        <f t="shared" si="2"/>
        <v>Valid</v>
      </c>
      <c r="Q61" s="30">
        <f t="shared" si="3"/>
        <v>0.12321937321937322</v>
      </c>
    </row>
    <row r="62" spans="1:17" x14ac:dyDescent="0.3">
      <c r="A62" s="25" t="s">
        <v>45</v>
      </c>
      <c r="B62" t="s">
        <v>20</v>
      </c>
      <c r="C62" t="s">
        <v>30</v>
      </c>
      <c r="D62" t="s">
        <v>31</v>
      </c>
      <c r="E62" t="s">
        <v>27</v>
      </c>
      <c r="F62" s="29">
        <v>1744</v>
      </c>
      <c r="G62" s="29">
        <v>3799</v>
      </c>
      <c r="H62" s="30">
        <v>5.48</v>
      </c>
      <c r="I62" s="30">
        <v>0.44</v>
      </c>
      <c r="J62" s="30">
        <v>5.04</v>
      </c>
      <c r="K62" s="25" t="s">
        <v>45</v>
      </c>
      <c r="L62" t="s">
        <v>27</v>
      </c>
      <c r="M62" s="30" t="str">
        <f t="shared" si="0"/>
        <v>Valid</v>
      </c>
      <c r="N62" s="30">
        <f t="shared" si="1"/>
        <v>693.24817518248165</v>
      </c>
      <c r="O62" s="29">
        <f>_xlfn.XLOOKUP(D62,'Fleet Master'!$A$2:$A$9,'Fleet Master'!$D$2:$D$9)*H62</f>
        <v>246.60000000000002</v>
      </c>
      <c r="P62" t="str">
        <f t="shared" si="2"/>
        <v>Valid</v>
      </c>
      <c r="Q62" s="30">
        <f t="shared" si="3"/>
        <v>0.45906817583574627</v>
      </c>
    </row>
    <row r="63" spans="1:17" x14ac:dyDescent="0.3">
      <c r="A63" s="25" t="s">
        <v>64</v>
      </c>
      <c r="B63" t="s">
        <v>29</v>
      </c>
      <c r="C63" t="s">
        <v>21</v>
      </c>
      <c r="D63" t="s">
        <v>22</v>
      </c>
      <c r="E63" t="s">
        <v>32</v>
      </c>
      <c r="F63" s="29">
        <v>3436</v>
      </c>
      <c r="G63" s="29">
        <v>5420</v>
      </c>
      <c r="H63" s="30">
        <v>7.13</v>
      </c>
      <c r="I63" s="30">
        <v>0.68</v>
      </c>
      <c r="J63" s="30">
        <v>6.45</v>
      </c>
      <c r="K63" s="25" t="s">
        <v>64</v>
      </c>
      <c r="L63" t="s">
        <v>23</v>
      </c>
      <c r="M63" s="30" t="str">
        <f t="shared" si="0"/>
        <v>Valid</v>
      </c>
      <c r="N63" s="30">
        <f t="shared" si="1"/>
        <v>760.16830294530155</v>
      </c>
      <c r="O63" s="29">
        <f>_xlfn.XLOOKUP(D63,'Fleet Master'!$A$2:$A$9,'Fleet Master'!$D$2:$D$9)*H63</f>
        <v>534.75</v>
      </c>
      <c r="P63" t="str">
        <f t="shared" si="2"/>
        <v>Valid</v>
      </c>
      <c r="Q63" s="30">
        <f t="shared" si="3"/>
        <v>0.6339483394833948</v>
      </c>
    </row>
    <row r="64" spans="1:17" x14ac:dyDescent="0.3">
      <c r="A64" s="25" t="s">
        <v>64</v>
      </c>
      <c r="B64" t="s">
        <v>20</v>
      </c>
      <c r="C64" t="s">
        <v>30</v>
      </c>
      <c r="D64" t="s">
        <v>22</v>
      </c>
      <c r="E64" t="s">
        <v>27</v>
      </c>
      <c r="F64" s="29">
        <v>2142</v>
      </c>
      <c r="G64" s="29">
        <v>2619</v>
      </c>
      <c r="H64" s="30">
        <v>6.2</v>
      </c>
      <c r="I64" s="30">
        <v>0.27</v>
      </c>
      <c r="J64" s="30">
        <v>5.93</v>
      </c>
      <c r="K64" s="25" t="s">
        <v>64</v>
      </c>
      <c r="L64" t="s">
        <v>27</v>
      </c>
      <c r="M64" s="30" t="str">
        <f t="shared" si="0"/>
        <v>Valid</v>
      </c>
      <c r="N64" s="30">
        <f t="shared" si="1"/>
        <v>422.41935483870964</v>
      </c>
      <c r="O64" s="29">
        <f>_xlfn.XLOOKUP(D64,'Fleet Master'!$A$2:$A$9,'Fleet Master'!$D$2:$D$9)*H64</f>
        <v>465</v>
      </c>
      <c r="P64" t="str">
        <f t="shared" si="2"/>
        <v>Valid</v>
      </c>
      <c r="Q64" s="30">
        <f t="shared" si="3"/>
        <v>0.81786941580756012</v>
      </c>
    </row>
    <row r="65" spans="1:17" x14ac:dyDescent="0.3">
      <c r="A65" s="25" t="s">
        <v>52</v>
      </c>
      <c r="B65" t="s">
        <v>20</v>
      </c>
      <c r="C65" t="s">
        <v>30</v>
      </c>
      <c r="D65" t="s">
        <v>22</v>
      </c>
      <c r="E65" t="s">
        <v>27</v>
      </c>
      <c r="F65" s="29">
        <v>4805</v>
      </c>
      <c r="G65" s="29">
        <v>5407</v>
      </c>
      <c r="H65" s="30">
        <v>6.04</v>
      </c>
      <c r="I65" s="30">
        <v>1.36</v>
      </c>
      <c r="J65" s="30">
        <v>4.68</v>
      </c>
      <c r="K65" s="25" t="s">
        <v>64</v>
      </c>
      <c r="L65" t="s">
        <v>27</v>
      </c>
      <c r="M65" s="30" t="str">
        <f t="shared" si="0"/>
        <v>Valid</v>
      </c>
      <c r="N65" s="30">
        <f t="shared" si="1"/>
        <v>895.19867549668879</v>
      </c>
      <c r="O65" s="29">
        <f>_xlfn.XLOOKUP(D65,'Fleet Master'!$A$2:$A$9,'Fleet Master'!$D$2:$D$9)*H65</f>
        <v>453</v>
      </c>
      <c r="P65" t="str">
        <f t="shared" si="2"/>
        <v>Valid</v>
      </c>
      <c r="Q65" s="30">
        <f t="shared" si="3"/>
        <v>0.88866284446088406</v>
      </c>
    </row>
    <row r="66" spans="1:17" x14ac:dyDescent="0.3">
      <c r="A66" s="25" t="s">
        <v>64</v>
      </c>
      <c r="B66" t="s">
        <v>20</v>
      </c>
      <c r="C66" t="s">
        <v>25</v>
      </c>
      <c r="D66" t="s">
        <v>22</v>
      </c>
      <c r="E66" t="s">
        <v>27</v>
      </c>
      <c r="F66" s="29">
        <v>6832</v>
      </c>
      <c r="G66" s="29">
        <v>5330</v>
      </c>
      <c r="H66" s="30">
        <v>4.42</v>
      </c>
      <c r="I66" s="30">
        <v>0.41</v>
      </c>
      <c r="J66" s="30">
        <v>4.01</v>
      </c>
      <c r="K66" s="25" t="s">
        <v>64</v>
      </c>
      <c r="L66" t="s">
        <v>27</v>
      </c>
      <c r="M66" s="30" t="str">
        <f t="shared" si="0"/>
        <v>Valid</v>
      </c>
      <c r="N66" s="30">
        <f t="shared" si="1"/>
        <v>1205.8823529411766</v>
      </c>
      <c r="O66" s="29">
        <f>_xlfn.XLOOKUP(D66,'Fleet Master'!$A$2:$A$9,'Fleet Master'!$D$2:$D$9)*H66</f>
        <v>331.5</v>
      </c>
      <c r="P66" t="str">
        <f t="shared" si="2"/>
        <v>Valid</v>
      </c>
      <c r="Q66" s="30">
        <f t="shared" si="3"/>
        <v>1.2818011257035646</v>
      </c>
    </row>
    <row r="67" spans="1:17" x14ac:dyDescent="0.3">
      <c r="A67" s="25" t="s">
        <v>51</v>
      </c>
      <c r="B67" t="s">
        <v>29</v>
      </c>
      <c r="C67" t="s">
        <v>30</v>
      </c>
      <c r="D67" t="s">
        <v>22</v>
      </c>
      <c r="E67" t="s">
        <v>27</v>
      </c>
      <c r="F67" s="29">
        <v>2901</v>
      </c>
      <c r="G67" s="29">
        <v>1408</v>
      </c>
      <c r="H67" s="30">
        <v>4.3600000000000003</v>
      </c>
      <c r="I67" s="30">
        <v>0.72</v>
      </c>
      <c r="J67" s="30">
        <v>3.64</v>
      </c>
      <c r="K67" s="25" t="s">
        <v>51</v>
      </c>
      <c r="L67" t="s">
        <v>27</v>
      </c>
      <c r="M67" s="30" t="str">
        <f t="shared" ref="M67:M130" si="4">IF(ABS(H67-J67-I67) &lt;= 0.01,"Valid","Invalid")</f>
        <v>Valid</v>
      </c>
      <c r="N67" s="30">
        <f t="shared" ref="N67:N130" si="5">G67/H67</f>
        <v>322.93577981651373</v>
      </c>
      <c r="O67" s="29">
        <f>_xlfn.XLOOKUP(D67,'Fleet Master'!$A$2:$A$9,'Fleet Master'!$D$2:$D$9)*H67</f>
        <v>327</v>
      </c>
      <c r="P67" t="str">
        <f t="shared" ref="P67:P130" si="6">IF(H67=I67+J67,"Valid","Invalid")</f>
        <v>Valid</v>
      </c>
      <c r="Q67" s="30">
        <f t="shared" ref="Q67:Q130" si="7">F67/G67</f>
        <v>2.0603693181818183</v>
      </c>
    </row>
    <row r="68" spans="1:17" x14ac:dyDescent="0.3">
      <c r="A68" s="25" t="s">
        <v>88</v>
      </c>
      <c r="B68" t="s">
        <v>34</v>
      </c>
      <c r="C68" t="s">
        <v>21</v>
      </c>
      <c r="D68" t="s">
        <v>26</v>
      </c>
      <c r="E68" t="s">
        <v>27</v>
      </c>
      <c r="F68" s="29">
        <v>6569</v>
      </c>
      <c r="G68" s="29">
        <v>1391</v>
      </c>
      <c r="H68" s="30">
        <v>7.1</v>
      </c>
      <c r="I68" s="30">
        <v>0.35</v>
      </c>
      <c r="J68" s="30">
        <v>6.75</v>
      </c>
      <c r="K68" s="25" t="s">
        <v>88</v>
      </c>
      <c r="L68" t="s">
        <v>27</v>
      </c>
      <c r="M68" s="30" t="str">
        <f t="shared" si="4"/>
        <v>Valid</v>
      </c>
      <c r="N68" s="30">
        <f t="shared" si="5"/>
        <v>195.91549295774649</v>
      </c>
      <c r="O68" s="29">
        <f>_xlfn.XLOOKUP(D68,'Fleet Master'!$A$2:$A$9,'Fleet Master'!$D$2:$D$9)*H68</f>
        <v>340.79999999999995</v>
      </c>
      <c r="P68" t="str">
        <f t="shared" si="6"/>
        <v>Valid</v>
      </c>
      <c r="Q68" s="30">
        <f t="shared" si="7"/>
        <v>4.7225017972681522</v>
      </c>
    </row>
    <row r="69" spans="1:17" x14ac:dyDescent="0.3">
      <c r="A69" s="25" t="s">
        <v>65</v>
      </c>
      <c r="B69" t="s">
        <v>29</v>
      </c>
      <c r="C69" t="s">
        <v>21</v>
      </c>
      <c r="D69" t="s">
        <v>31</v>
      </c>
      <c r="E69" t="s">
        <v>27</v>
      </c>
      <c r="F69" s="29">
        <v>5615</v>
      </c>
      <c r="G69" s="29">
        <v>3582</v>
      </c>
      <c r="H69" s="30">
        <v>8.6</v>
      </c>
      <c r="I69" s="30">
        <v>1.04</v>
      </c>
      <c r="J69" s="30">
        <v>7.56</v>
      </c>
      <c r="K69" s="25" t="s">
        <v>65</v>
      </c>
      <c r="L69" t="s">
        <v>27</v>
      </c>
      <c r="M69" s="30" t="str">
        <f t="shared" si="4"/>
        <v>Valid</v>
      </c>
      <c r="N69" s="30">
        <f t="shared" si="5"/>
        <v>416.51162790697674</v>
      </c>
      <c r="O69" s="29">
        <f>_xlfn.XLOOKUP(D69,'Fleet Master'!$A$2:$A$9,'Fleet Master'!$D$2:$D$9)*H69</f>
        <v>387</v>
      </c>
      <c r="P69" t="str">
        <f t="shared" si="6"/>
        <v>Valid</v>
      </c>
      <c r="Q69" s="30">
        <f t="shared" si="7"/>
        <v>1.5675600223338917</v>
      </c>
    </row>
    <row r="70" spans="1:17" x14ac:dyDescent="0.3">
      <c r="A70" s="25" t="s">
        <v>65</v>
      </c>
      <c r="B70" t="s">
        <v>20</v>
      </c>
      <c r="C70" t="s">
        <v>21</v>
      </c>
      <c r="D70" t="s">
        <v>22</v>
      </c>
      <c r="E70" t="s">
        <v>27</v>
      </c>
      <c r="F70" s="29">
        <v>2077</v>
      </c>
      <c r="G70" s="29">
        <v>5424</v>
      </c>
      <c r="H70" s="30">
        <v>5.46</v>
      </c>
      <c r="I70" s="30">
        <v>0.81</v>
      </c>
      <c r="J70" s="30">
        <v>4.6500000000000004</v>
      </c>
      <c r="K70" s="25" t="s">
        <v>65</v>
      </c>
      <c r="L70" t="s">
        <v>27</v>
      </c>
      <c r="M70" s="30" t="str">
        <f t="shared" si="4"/>
        <v>Valid</v>
      </c>
      <c r="N70" s="30">
        <f t="shared" si="5"/>
        <v>993.4065934065934</v>
      </c>
      <c r="O70" s="29">
        <f>_xlfn.XLOOKUP(D70,'Fleet Master'!$A$2:$A$9,'Fleet Master'!$D$2:$D$9)*H70</f>
        <v>409.5</v>
      </c>
      <c r="P70" t="str">
        <f t="shared" si="6"/>
        <v>Valid</v>
      </c>
      <c r="Q70" s="30">
        <f t="shared" si="7"/>
        <v>0.38292772861356933</v>
      </c>
    </row>
    <row r="71" spans="1:17" x14ac:dyDescent="0.3">
      <c r="A71" t="s">
        <v>90</v>
      </c>
      <c r="B71" t="s">
        <v>20</v>
      </c>
      <c r="C71" t="s">
        <v>25</v>
      </c>
      <c r="D71" t="s">
        <v>26</v>
      </c>
      <c r="E71" t="s">
        <v>27</v>
      </c>
      <c r="F71" s="29">
        <v>1076</v>
      </c>
      <c r="G71" s="29">
        <v>657</v>
      </c>
      <c r="H71" s="30">
        <v>5.9</v>
      </c>
      <c r="I71" s="30">
        <v>1.99</v>
      </c>
      <c r="J71" s="30">
        <v>3.91</v>
      </c>
      <c r="K71" t="s">
        <v>90</v>
      </c>
      <c r="L71" t="s">
        <v>27</v>
      </c>
      <c r="M71" s="30" t="str">
        <f t="shared" si="4"/>
        <v>Valid</v>
      </c>
      <c r="N71" s="30">
        <f t="shared" si="5"/>
        <v>111.35593220338983</v>
      </c>
      <c r="O71" s="29">
        <f>_xlfn.XLOOKUP(D71,'Fleet Master'!$A$2:$A$9,'Fleet Master'!$D$2:$D$9)*H71</f>
        <v>283.20000000000005</v>
      </c>
      <c r="P71" t="str">
        <f t="shared" si="6"/>
        <v>Valid</v>
      </c>
      <c r="Q71" s="30">
        <f t="shared" si="7"/>
        <v>1.6377473363774733</v>
      </c>
    </row>
    <row r="72" spans="1:17" x14ac:dyDescent="0.3">
      <c r="A72" t="s">
        <v>19</v>
      </c>
      <c r="B72" t="s">
        <v>20</v>
      </c>
      <c r="C72" t="s">
        <v>21</v>
      </c>
      <c r="D72" t="s">
        <v>22</v>
      </c>
      <c r="E72" t="s">
        <v>23</v>
      </c>
      <c r="F72" s="29">
        <v>2760</v>
      </c>
      <c r="G72" s="29">
        <v>2366</v>
      </c>
      <c r="H72" s="30">
        <v>9.06</v>
      </c>
      <c r="I72" s="30">
        <v>0.31</v>
      </c>
      <c r="J72" s="30">
        <v>8.75</v>
      </c>
      <c r="K72" t="s">
        <v>19</v>
      </c>
      <c r="L72" t="s">
        <v>23</v>
      </c>
      <c r="M72" s="30" t="str">
        <f t="shared" si="4"/>
        <v>Valid</v>
      </c>
      <c r="N72" s="30">
        <f t="shared" si="5"/>
        <v>261.14790286975716</v>
      </c>
      <c r="O72" s="29">
        <f>_xlfn.XLOOKUP(D72,'Fleet Master'!$A$2:$A$9,'Fleet Master'!$D$2:$D$9)*H72</f>
        <v>679.5</v>
      </c>
      <c r="P72" t="str">
        <f t="shared" si="6"/>
        <v>Valid</v>
      </c>
      <c r="Q72" s="30">
        <f t="shared" si="7"/>
        <v>1.1665257819103974</v>
      </c>
    </row>
    <row r="73" spans="1:17" x14ac:dyDescent="0.3">
      <c r="A73" t="s">
        <v>28</v>
      </c>
      <c r="B73" t="s">
        <v>29</v>
      </c>
      <c r="C73" t="s">
        <v>30</v>
      </c>
      <c r="D73" t="s">
        <v>31</v>
      </c>
      <c r="E73" t="s">
        <v>32</v>
      </c>
      <c r="F73" s="29">
        <v>1210</v>
      </c>
      <c r="G73" s="29">
        <v>2267</v>
      </c>
      <c r="H73" s="30">
        <v>8.6300000000000008</v>
      </c>
      <c r="I73" s="30">
        <v>0.94</v>
      </c>
      <c r="J73" s="30">
        <v>7.69</v>
      </c>
      <c r="K73" t="s">
        <v>28</v>
      </c>
      <c r="L73" t="s">
        <v>27</v>
      </c>
      <c r="M73" s="30" t="str">
        <f t="shared" si="4"/>
        <v>Valid</v>
      </c>
      <c r="N73" s="30">
        <f t="shared" si="5"/>
        <v>262.68829663962919</v>
      </c>
      <c r="O73" s="29">
        <f>_xlfn.XLOOKUP(D73,'Fleet Master'!$A$2:$A$9,'Fleet Master'!$D$2:$D$9)*H73</f>
        <v>388.35</v>
      </c>
      <c r="P73" t="str">
        <f t="shared" si="6"/>
        <v>Valid</v>
      </c>
      <c r="Q73" s="30">
        <f t="shared" si="7"/>
        <v>0.5337450374944861</v>
      </c>
    </row>
    <row r="74" spans="1:17" x14ac:dyDescent="0.3">
      <c r="A74" t="s">
        <v>28</v>
      </c>
      <c r="B74" t="s">
        <v>34</v>
      </c>
      <c r="C74" t="s">
        <v>21</v>
      </c>
      <c r="D74" t="s">
        <v>26</v>
      </c>
      <c r="E74" t="s">
        <v>23</v>
      </c>
      <c r="F74" s="29">
        <v>5409</v>
      </c>
      <c r="G74" s="29">
        <v>4542</v>
      </c>
      <c r="H74" s="30">
        <v>5.83</v>
      </c>
      <c r="I74" s="30">
        <v>0.45</v>
      </c>
      <c r="J74" s="30">
        <v>5.38</v>
      </c>
      <c r="K74" t="s">
        <v>28</v>
      </c>
      <c r="L74" t="s">
        <v>23</v>
      </c>
      <c r="M74" s="30" t="str">
        <f t="shared" si="4"/>
        <v>Valid</v>
      </c>
      <c r="N74" s="30">
        <f t="shared" si="5"/>
        <v>779.07375643224702</v>
      </c>
      <c r="O74" s="29">
        <f>_xlfn.XLOOKUP(D74,'Fleet Master'!$A$2:$A$9,'Fleet Master'!$D$2:$D$9)*H74</f>
        <v>279.84000000000003</v>
      </c>
      <c r="P74" t="str">
        <f t="shared" si="6"/>
        <v>Valid</v>
      </c>
      <c r="Q74" s="30">
        <f t="shared" si="7"/>
        <v>1.190885072655218</v>
      </c>
    </row>
    <row r="75" spans="1:17" x14ac:dyDescent="0.3">
      <c r="A75" t="s">
        <v>28</v>
      </c>
      <c r="B75" t="s">
        <v>34</v>
      </c>
      <c r="C75" t="s">
        <v>25</v>
      </c>
      <c r="D75" t="s">
        <v>31</v>
      </c>
      <c r="E75" t="s">
        <v>27</v>
      </c>
      <c r="F75" s="29">
        <v>6662</v>
      </c>
      <c r="G75" s="29">
        <v>132</v>
      </c>
      <c r="H75" s="30">
        <v>9.84</v>
      </c>
      <c r="I75" s="30">
        <v>0.52</v>
      </c>
      <c r="J75" s="30">
        <v>9.32</v>
      </c>
      <c r="K75" t="s">
        <v>28</v>
      </c>
      <c r="L75" t="s">
        <v>27</v>
      </c>
      <c r="M75" s="30" t="str">
        <f t="shared" si="4"/>
        <v>Valid</v>
      </c>
      <c r="N75" s="30">
        <f t="shared" si="5"/>
        <v>13.414634146341463</v>
      </c>
      <c r="O75" s="29">
        <f>_xlfn.XLOOKUP(D75,'Fleet Master'!$A$2:$A$9,'Fleet Master'!$D$2:$D$9)*H75</f>
        <v>442.8</v>
      </c>
      <c r="P75" t="str">
        <f t="shared" si="6"/>
        <v>Valid</v>
      </c>
      <c r="Q75" s="30">
        <f t="shared" si="7"/>
        <v>50.469696969696969</v>
      </c>
    </row>
    <row r="76" spans="1:17" x14ac:dyDescent="0.3">
      <c r="A76" t="s">
        <v>56</v>
      </c>
      <c r="B76" t="s">
        <v>34</v>
      </c>
      <c r="C76" t="s">
        <v>25</v>
      </c>
      <c r="D76" t="s">
        <v>26</v>
      </c>
      <c r="E76" t="s">
        <v>23</v>
      </c>
      <c r="F76" s="29">
        <v>4744</v>
      </c>
      <c r="G76" s="29">
        <v>4602</v>
      </c>
      <c r="H76" s="30">
        <v>9.4499999999999993</v>
      </c>
      <c r="I76" s="30">
        <v>0.17</v>
      </c>
      <c r="J76" s="30">
        <v>9.2799999999999994</v>
      </c>
      <c r="K76" t="s">
        <v>56</v>
      </c>
      <c r="L76" t="s">
        <v>23</v>
      </c>
      <c r="M76" s="30" t="str">
        <f t="shared" si="4"/>
        <v>Valid</v>
      </c>
      <c r="N76" s="30">
        <f t="shared" si="5"/>
        <v>486.98412698412704</v>
      </c>
      <c r="O76" s="29">
        <f>_xlfn.XLOOKUP(D76,'Fleet Master'!$A$2:$A$9,'Fleet Master'!$D$2:$D$9)*H76</f>
        <v>453.59999999999997</v>
      </c>
      <c r="P76" t="str">
        <f t="shared" si="6"/>
        <v>Valid</v>
      </c>
      <c r="Q76" s="30">
        <f t="shared" si="7"/>
        <v>1.0308561495002173</v>
      </c>
    </row>
    <row r="77" spans="1:17" x14ac:dyDescent="0.3">
      <c r="A77" t="s">
        <v>56</v>
      </c>
      <c r="B77" t="s">
        <v>29</v>
      </c>
      <c r="C77" t="s">
        <v>21</v>
      </c>
      <c r="D77" t="s">
        <v>22</v>
      </c>
      <c r="E77" t="s">
        <v>23</v>
      </c>
      <c r="F77" s="29">
        <v>5154</v>
      </c>
      <c r="G77" s="29">
        <v>2366</v>
      </c>
      <c r="H77" s="30">
        <v>5.0599999999999996</v>
      </c>
      <c r="I77" s="30">
        <v>0.16</v>
      </c>
      <c r="J77" s="30">
        <v>4.9000000000000004</v>
      </c>
      <c r="K77" t="s">
        <v>56</v>
      </c>
      <c r="L77" t="s">
        <v>23</v>
      </c>
      <c r="M77" s="30" t="str">
        <f t="shared" si="4"/>
        <v>Valid</v>
      </c>
      <c r="N77" s="30">
        <f t="shared" si="5"/>
        <v>467.58893280632412</v>
      </c>
      <c r="O77" s="29">
        <f>_xlfn.XLOOKUP(D77,'Fleet Master'!$A$2:$A$9,'Fleet Master'!$D$2:$D$9)*H77</f>
        <v>379.49999999999994</v>
      </c>
      <c r="P77" t="str">
        <f t="shared" si="6"/>
        <v>Valid</v>
      </c>
      <c r="Q77" s="30">
        <f t="shared" si="7"/>
        <v>2.1783601014370246</v>
      </c>
    </row>
    <row r="78" spans="1:17" x14ac:dyDescent="0.3">
      <c r="B78" t="s">
        <v>29</v>
      </c>
      <c r="C78" t="s">
        <v>21</v>
      </c>
      <c r="D78" t="s">
        <v>22</v>
      </c>
      <c r="E78" t="s">
        <v>23</v>
      </c>
      <c r="F78" s="29">
        <v>4956</v>
      </c>
      <c r="G78" s="29">
        <v>5518</v>
      </c>
      <c r="H78" s="30">
        <v>7.4</v>
      </c>
      <c r="I78" s="30">
        <v>0.09</v>
      </c>
      <c r="J78" s="30">
        <v>7.31</v>
      </c>
      <c r="K78" t="s">
        <v>56</v>
      </c>
      <c r="L78" t="s">
        <v>23</v>
      </c>
      <c r="M78" s="30" t="str">
        <f t="shared" si="4"/>
        <v>Valid</v>
      </c>
      <c r="N78" s="30">
        <f t="shared" si="5"/>
        <v>745.67567567567562</v>
      </c>
      <c r="O78" s="29">
        <f>_xlfn.XLOOKUP(D78,'Fleet Master'!$A$2:$A$9,'Fleet Master'!$D$2:$D$9)*H78</f>
        <v>555</v>
      </c>
      <c r="P78" t="str">
        <f t="shared" si="6"/>
        <v>Valid</v>
      </c>
      <c r="Q78" s="30">
        <f t="shared" si="7"/>
        <v>0.89815150416817691</v>
      </c>
    </row>
    <row r="79" spans="1:17" x14ac:dyDescent="0.3">
      <c r="A79" t="s">
        <v>35</v>
      </c>
      <c r="B79" t="s">
        <v>29</v>
      </c>
      <c r="C79" t="s">
        <v>30</v>
      </c>
      <c r="D79" t="s">
        <v>31</v>
      </c>
      <c r="E79" t="s">
        <v>23</v>
      </c>
      <c r="F79" s="29">
        <v>7607</v>
      </c>
      <c r="G79" s="29">
        <v>4801</v>
      </c>
      <c r="H79" s="30">
        <v>6.5</v>
      </c>
      <c r="I79" s="30">
        <v>1.52</v>
      </c>
      <c r="J79" s="30">
        <v>4.9800000000000004</v>
      </c>
      <c r="K79" t="s">
        <v>35</v>
      </c>
      <c r="L79" t="s">
        <v>23</v>
      </c>
      <c r="M79" s="30" t="str">
        <f t="shared" si="4"/>
        <v>Valid</v>
      </c>
      <c r="N79" s="30">
        <f t="shared" si="5"/>
        <v>738.61538461538464</v>
      </c>
      <c r="O79" s="29">
        <f>_xlfn.XLOOKUP(D79,'Fleet Master'!$A$2:$A$9,'Fleet Master'!$D$2:$D$9)*H79</f>
        <v>292.5</v>
      </c>
      <c r="P79" t="str">
        <f t="shared" si="6"/>
        <v>Valid</v>
      </c>
      <c r="Q79" s="30">
        <f t="shared" si="7"/>
        <v>1.5844615705061444</v>
      </c>
    </row>
    <row r="80" spans="1:17" x14ac:dyDescent="0.3">
      <c r="A80" t="s">
        <v>35</v>
      </c>
      <c r="B80" t="s">
        <v>34</v>
      </c>
      <c r="C80" t="s">
        <v>30</v>
      </c>
      <c r="D80" t="s">
        <v>31</v>
      </c>
      <c r="E80" t="s">
        <v>27</v>
      </c>
      <c r="F80" s="29">
        <v>1958</v>
      </c>
      <c r="G80" s="29">
        <v>2487</v>
      </c>
      <c r="H80" s="30">
        <v>6.37</v>
      </c>
      <c r="I80" s="30">
        <v>0.68</v>
      </c>
      <c r="J80" s="30">
        <v>5.69</v>
      </c>
      <c r="K80" t="s">
        <v>35</v>
      </c>
      <c r="L80" t="s">
        <v>27</v>
      </c>
      <c r="M80" s="30" t="str">
        <f t="shared" si="4"/>
        <v>Valid</v>
      </c>
      <c r="N80" s="30">
        <f t="shared" si="5"/>
        <v>390.42386185243328</v>
      </c>
      <c r="O80" s="29">
        <f>_xlfn.XLOOKUP(D80,'Fleet Master'!$A$2:$A$9,'Fleet Master'!$D$2:$D$9)*H80</f>
        <v>286.64999999999998</v>
      </c>
      <c r="P80" t="str">
        <f t="shared" si="6"/>
        <v>Valid</v>
      </c>
      <c r="Q80" s="30">
        <f t="shared" si="7"/>
        <v>0.78729392842782464</v>
      </c>
    </row>
    <row r="81" spans="1:17" x14ac:dyDescent="0.3">
      <c r="A81" t="s">
        <v>67</v>
      </c>
      <c r="B81" t="s">
        <v>34</v>
      </c>
      <c r="C81" t="s">
        <v>25</v>
      </c>
      <c r="D81" t="s">
        <v>26</v>
      </c>
      <c r="E81" t="s">
        <v>23</v>
      </c>
      <c r="F81" s="29">
        <v>7846</v>
      </c>
      <c r="G81" s="29">
        <v>3226</v>
      </c>
      <c r="H81" s="30">
        <v>9.9</v>
      </c>
      <c r="I81" s="30">
        <v>0.26</v>
      </c>
      <c r="J81" s="30">
        <v>9.64</v>
      </c>
      <c r="K81" t="s">
        <v>67</v>
      </c>
      <c r="L81" t="s">
        <v>23</v>
      </c>
      <c r="M81" s="30" t="str">
        <f t="shared" si="4"/>
        <v>Valid</v>
      </c>
      <c r="N81" s="30">
        <f t="shared" si="5"/>
        <v>325.85858585858585</v>
      </c>
      <c r="O81" s="29">
        <f>_xlfn.XLOOKUP(D81,'Fleet Master'!$A$2:$A$9,'Fleet Master'!$D$2:$D$9)*H81</f>
        <v>475.20000000000005</v>
      </c>
      <c r="P81" t="str">
        <f t="shared" si="6"/>
        <v>Valid</v>
      </c>
      <c r="Q81" s="30">
        <f t="shared" si="7"/>
        <v>2.4321140731556108</v>
      </c>
    </row>
    <row r="82" spans="1:17" x14ac:dyDescent="0.3">
      <c r="A82" t="s">
        <v>67</v>
      </c>
      <c r="B82" t="s">
        <v>29</v>
      </c>
      <c r="C82" t="s">
        <v>30</v>
      </c>
      <c r="D82" t="s">
        <v>22</v>
      </c>
      <c r="E82" t="s">
        <v>27</v>
      </c>
      <c r="F82" s="29">
        <v>653</v>
      </c>
      <c r="G82" s="29">
        <v>1706</v>
      </c>
      <c r="H82" s="30">
        <v>6.41</v>
      </c>
      <c r="I82" s="30">
        <v>1.81</v>
      </c>
      <c r="J82" s="30">
        <v>4.5999999999999996</v>
      </c>
      <c r="K82" t="s">
        <v>67</v>
      </c>
      <c r="L82" t="s">
        <v>27</v>
      </c>
      <c r="M82" s="30" t="str">
        <f t="shared" si="4"/>
        <v>Valid</v>
      </c>
      <c r="N82" s="30">
        <f t="shared" si="5"/>
        <v>266.14664586583461</v>
      </c>
      <c r="O82" s="29">
        <f>_xlfn.XLOOKUP(D82,'Fleet Master'!$A$2:$A$9,'Fleet Master'!$D$2:$D$9)*H82</f>
        <v>480.75</v>
      </c>
      <c r="P82" t="str">
        <f t="shared" si="6"/>
        <v>Valid</v>
      </c>
      <c r="Q82" s="30">
        <f t="shared" si="7"/>
        <v>0.38276670574443145</v>
      </c>
    </row>
    <row r="83" spans="1:17" x14ac:dyDescent="0.3">
      <c r="A83" t="s">
        <v>67</v>
      </c>
      <c r="B83" t="s">
        <v>20</v>
      </c>
      <c r="C83" t="s">
        <v>30</v>
      </c>
      <c r="D83" t="s">
        <v>22</v>
      </c>
      <c r="E83" t="s">
        <v>23</v>
      </c>
      <c r="F83" s="29">
        <v>3640</v>
      </c>
      <c r="G83" s="29">
        <v>4576</v>
      </c>
      <c r="H83" s="30">
        <v>7.69</v>
      </c>
      <c r="I83" s="30">
        <v>1.92</v>
      </c>
      <c r="J83" s="30">
        <v>5.77</v>
      </c>
      <c r="K83" t="s">
        <v>67</v>
      </c>
      <c r="L83" t="s">
        <v>23</v>
      </c>
      <c r="M83" s="30" t="str">
        <f t="shared" si="4"/>
        <v>Valid</v>
      </c>
      <c r="N83" s="30">
        <f t="shared" si="5"/>
        <v>595.05851755526658</v>
      </c>
      <c r="O83" s="29">
        <f>_xlfn.XLOOKUP(D83,'Fleet Master'!$A$2:$A$9,'Fleet Master'!$D$2:$D$9)*H83</f>
        <v>576.75</v>
      </c>
      <c r="P83" t="str">
        <f t="shared" si="6"/>
        <v>Valid</v>
      </c>
      <c r="Q83" s="30">
        <f t="shared" si="7"/>
        <v>0.79545454545454541</v>
      </c>
    </row>
    <row r="84" spans="1:17" x14ac:dyDescent="0.3">
      <c r="A84" t="s">
        <v>67</v>
      </c>
      <c r="B84" t="s">
        <v>34</v>
      </c>
      <c r="C84" t="s">
        <v>25</v>
      </c>
      <c r="D84" t="s">
        <v>31</v>
      </c>
      <c r="E84" t="s">
        <v>27</v>
      </c>
      <c r="F84" s="29">
        <v>7713</v>
      </c>
      <c r="G84" s="29">
        <v>5371</v>
      </c>
      <c r="H84" s="30">
        <v>7.34</v>
      </c>
      <c r="I84" s="30">
        <v>0.39</v>
      </c>
      <c r="J84" s="30">
        <v>6.95</v>
      </c>
      <c r="K84" t="s">
        <v>67</v>
      </c>
      <c r="L84" t="s">
        <v>27</v>
      </c>
      <c r="M84" s="30" t="str">
        <f t="shared" si="4"/>
        <v>Valid</v>
      </c>
      <c r="N84" s="30">
        <f t="shared" si="5"/>
        <v>731.7438692098093</v>
      </c>
      <c r="O84" s="29">
        <f>_xlfn.XLOOKUP(D84,'Fleet Master'!$A$2:$A$9,'Fleet Master'!$D$2:$D$9)*H84</f>
        <v>330.3</v>
      </c>
      <c r="P84" t="str">
        <f t="shared" si="6"/>
        <v>Valid</v>
      </c>
      <c r="Q84" s="30">
        <f t="shared" si="7"/>
        <v>1.4360454291565816</v>
      </c>
    </row>
    <row r="85" spans="1:17" x14ac:dyDescent="0.3">
      <c r="A85" t="s">
        <v>94</v>
      </c>
      <c r="B85" t="s">
        <v>34</v>
      </c>
      <c r="C85" t="s">
        <v>30</v>
      </c>
      <c r="D85" t="s">
        <v>31</v>
      </c>
      <c r="E85" t="s">
        <v>23</v>
      </c>
      <c r="F85" s="29">
        <v>7669</v>
      </c>
      <c r="G85" s="29">
        <v>5723</v>
      </c>
      <c r="H85" s="30">
        <v>9.6999999999999993</v>
      </c>
      <c r="I85" s="30">
        <v>0.65</v>
      </c>
      <c r="J85" s="30">
        <v>9.0500000000000007</v>
      </c>
      <c r="K85" t="s">
        <v>94</v>
      </c>
      <c r="L85" t="s">
        <v>23</v>
      </c>
      <c r="M85" s="30" t="str">
        <f t="shared" si="4"/>
        <v>Valid</v>
      </c>
      <c r="N85" s="30">
        <f t="shared" si="5"/>
        <v>590</v>
      </c>
      <c r="O85" s="29">
        <f>_xlfn.XLOOKUP(D85,'Fleet Master'!$A$2:$A$9,'Fleet Master'!$D$2:$D$9)*H85</f>
        <v>436.49999999999994</v>
      </c>
      <c r="P85" t="str">
        <f t="shared" si="6"/>
        <v>Valid</v>
      </c>
      <c r="Q85" s="30">
        <f t="shared" si="7"/>
        <v>1.3400314520356456</v>
      </c>
    </row>
    <row r="86" spans="1:17" x14ac:dyDescent="0.3">
      <c r="A86" t="s">
        <v>97</v>
      </c>
      <c r="B86" t="s">
        <v>34</v>
      </c>
      <c r="C86" t="s">
        <v>25</v>
      </c>
      <c r="D86" t="s">
        <v>26</v>
      </c>
      <c r="E86" t="s">
        <v>23</v>
      </c>
      <c r="F86" s="29">
        <v>1925</v>
      </c>
      <c r="G86" s="29">
        <v>1096</v>
      </c>
      <c r="H86" s="30">
        <v>6.2</v>
      </c>
      <c r="I86" s="30">
        <v>1.33</v>
      </c>
      <c r="J86" s="30">
        <v>4.87</v>
      </c>
      <c r="K86" t="s">
        <v>97</v>
      </c>
      <c r="L86" t="s">
        <v>23</v>
      </c>
      <c r="M86" s="30" t="str">
        <f t="shared" si="4"/>
        <v>Valid</v>
      </c>
      <c r="N86" s="30">
        <f t="shared" si="5"/>
        <v>176.7741935483871</v>
      </c>
      <c r="O86" s="29">
        <f>_xlfn.XLOOKUP(D86,'Fleet Master'!$A$2:$A$9,'Fleet Master'!$D$2:$D$9)*H86</f>
        <v>297.60000000000002</v>
      </c>
      <c r="P86" t="str">
        <f t="shared" si="6"/>
        <v>Valid</v>
      </c>
      <c r="Q86" s="30">
        <f t="shared" si="7"/>
        <v>1.7563868613138687</v>
      </c>
    </row>
    <row r="87" spans="1:17" x14ac:dyDescent="0.3">
      <c r="A87" t="s">
        <v>97</v>
      </c>
      <c r="B87" t="s">
        <v>34</v>
      </c>
      <c r="C87" t="s">
        <v>25</v>
      </c>
      <c r="D87" t="s">
        <v>26</v>
      </c>
      <c r="E87" t="s">
        <v>23</v>
      </c>
      <c r="F87" s="29">
        <v>7839</v>
      </c>
      <c r="G87" s="29">
        <v>984</v>
      </c>
      <c r="H87" s="30">
        <v>7.87</v>
      </c>
      <c r="I87" s="30">
        <v>0.41</v>
      </c>
      <c r="J87" s="30">
        <v>7.46</v>
      </c>
      <c r="K87" t="s">
        <v>97</v>
      </c>
      <c r="L87" t="s">
        <v>23</v>
      </c>
      <c r="M87" s="30" t="str">
        <f t="shared" si="4"/>
        <v>Valid</v>
      </c>
      <c r="N87" s="30">
        <f t="shared" si="5"/>
        <v>125.03176620076239</v>
      </c>
      <c r="O87" s="29">
        <f>_xlfn.XLOOKUP(D87,'Fleet Master'!$A$2:$A$9,'Fleet Master'!$D$2:$D$9)*H87</f>
        <v>377.76</v>
      </c>
      <c r="P87" t="str">
        <f t="shared" si="6"/>
        <v>Valid</v>
      </c>
      <c r="Q87" s="30">
        <f t="shared" si="7"/>
        <v>7.9664634146341466</v>
      </c>
    </row>
    <row r="88" spans="1:17" x14ac:dyDescent="0.3">
      <c r="A88" t="s">
        <v>97</v>
      </c>
      <c r="B88" t="s">
        <v>34</v>
      </c>
      <c r="C88" t="s">
        <v>30</v>
      </c>
      <c r="D88" t="s">
        <v>26</v>
      </c>
      <c r="E88" t="s">
        <v>27</v>
      </c>
      <c r="F88" s="29">
        <v>6878</v>
      </c>
      <c r="G88" s="29">
        <v>106</v>
      </c>
      <c r="H88" s="30">
        <v>8.32</v>
      </c>
      <c r="I88" s="30">
        <v>0.91</v>
      </c>
      <c r="J88" s="30">
        <v>7.41</v>
      </c>
      <c r="K88" t="s">
        <v>97</v>
      </c>
      <c r="L88" t="s">
        <v>27</v>
      </c>
      <c r="M88" s="30" t="str">
        <f t="shared" si="4"/>
        <v>Valid</v>
      </c>
      <c r="N88" s="30">
        <f t="shared" si="5"/>
        <v>12.740384615384615</v>
      </c>
      <c r="O88" s="29">
        <f>_xlfn.XLOOKUP(D88,'Fleet Master'!$A$2:$A$9,'Fleet Master'!$D$2:$D$9)*H88</f>
        <v>399.36</v>
      </c>
      <c r="P88" t="str">
        <f t="shared" si="6"/>
        <v>Valid</v>
      </c>
      <c r="Q88" s="30">
        <f t="shared" si="7"/>
        <v>64.886792452830193</v>
      </c>
    </row>
    <row r="89" spans="1:17" x14ac:dyDescent="0.3">
      <c r="A89" t="s">
        <v>66</v>
      </c>
      <c r="B89" t="s">
        <v>20</v>
      </c>
      <c r="C89" t="s">
        <v>25</v>
      </c>
      <c r="D89" t="s">
        <v>22</v>
      </c>
      <c r="E89" t="s">
        <v>23</v>
      </c>
      <c r="F89" s="29">
        <v>204</v>
      </c>
      <c r="G89" s="29">
        <v>4045</v>
      </c>
      <c r="H89" s="30">
        <v>6.66</v>
      </c>
      <c r="I89" s="30">
        <v>1.31</v>
      </c>
      <c r="J89" s="30">
        <v>5.35</v>
      </c>
      <c r="K89" t="s">
        <v>66</v>
      </c>
      <c r="L89" t="s">
        <v>23</v>
      </c>
      <c r="M89" s="30" t="str">
        <f t="shared" si="4"/>
        <v>Valid</v>
      </c>
      <c r="N89" s="30">
        <f t="shared" si="5"/>
        <v>607.35735735735739</v>
      </c>
      <c r="O89" s="29">
        <f>_xlfn.XLOOKUP(D89,'Fleet Master'!$A$2:$A$9,'Fleet Master'!$D$2:$D$9)*H89</f>
        <v>499.5</v>
      </c>
      <c r="P89" t="str">
        <f t="shared" si="6"/>
        <v>Valid</v>
      </c>
      <c r="Q89" s="30">
        <f t="shared" si="7"/>
        <v>5.0432632880098888E-2</v>
      </c>
    </row>
    <row r="90" spans="1:17" x14ac:dyDescent="0.3">
      <c r="A90" t="s">
        <v>76</v>
      </c>
      <c r="B90" t="s">
        <v>29</v>
      </c>
      <c r="C90" t="s">
        <v>30</v>
      </c>
      <c r="D90" t="s">
        <v>31</v>
      </c>
      <c r="E90" t="s">
        <v>27</v>
      </c>
      <c r="F90" s="29">
        <v>7549</v>
      </c>
      <c r="G90" s="29">
        <v>5053</v>
      </c>
      <c r="H90" s="30">
        <v>5.6</v>
      </c>
      <c r="I90" s="30">
        <v>0.21</v>
      </c>
      <c r="J90" s="30">
        <v>5.39</v>
      </c>
      <c r="K90" t="s">
        <v>76</v>
      </c>
      <c r="L90" t="s">
        <v>27</v>
      </c>
      <c r="M90" s="30" t="str">
        <f t="shared" si="4"/>
        <v>Valid</v>
      </c>
      <c r="N90" s="30">
        <f t="shared" si="5"/>
        <v>902.32142857142867</v>
      </c>
      <c r="O90" s="29">
        <f>_xlfn.XLOOKUP(D90,'Fleet Master'!$A$2:$A$9,'Fleet Master'!$D$2:$D$9)*H90</f>
        <v>251.99999999999997</v>
      </c>
      <c r="P90" t="str">
        <f t="shared" si="6"/>
        <v>Valid</v>
      </c>
      <c r="Q90" s="30">
        <f t="shared" si="7"/>
        <v>1.4939639817929942</v>
      </c>
    </row>
    <row r="91" spans="1:17" x14ac:dyDescent="0.3">
      <c r="A91" t="s">
        <v>76</v>
      </c>
      <c r="B91" t="s">
        <v>34</v>
      </c>
      <c r="C91" t="s">
        <v>25</v>
      </c>
      <c r="D91" t="s">
        <v>22</v>
      </c>
      <c r="E91" t="s">
        <v>23</v>
      </c>
      <c r="F91" s="29">
        <v>7647</v>
      </c>
      <c r="G91" s="29">
        <v>6080</v>
      </c>
      <c r="H91" s="30">
        <v>6.82</v>
      </c>
      <c r="I91" s="30">
        <v>0.7</v>
      </c>
      <c r="J91" s="30">
        <v>6.12</v>
      </c>
      <c r="K91" t="s">
        <v>76</v>
      </c>
      <c r="L91" t="s">
        <v>23</v>
      </c>
      <c r="M91" s="30" t="str">
        <f t="shared" si="4"/>
        <v>Valid</v>
      </c>
      <c r="N91" s="30">
        <f t="shared" si="5"/>
        <v>891.49560117302053</v>
      </c>
      <c r="O91" s="29">
        <f>_xlfn.XLOOKUP(D91,'Fleet Master'!$A$2:$A$9,'Fleet Master'!$D$2:$D$9)*H91</f>
        <v>511.5</v>
      </c>
      <c r="P91" t="str">
        <f t="shared" si="6"/>
        <v>Valid</v>
      </c>
      <c r="Q91" s="30">
        <f t="shared" si="7"/>
        <v>1.2577302631578948</v>
      </c>
    </row>
    <row r="92" spans="1:17" x14ac:dyDescent="0.3">
      <c r="A92" t="s">
        <v>47</v>
      </c>
      <c r="B92" t="s">
        <v>29</v>
      </c>
      <c r="C92" t="s">
        <v>30</v>
      </c>
      <c r="D92" t="s">
        <v>22</v>
      </c>
      <c r="E92" t="s">
        <v>23</v>
      </c>
      <c r="F92" s="29">
        <v>2109</v>
      </c>
      <c r="G92" s="29">
        <v>4478</v>
      </c>
      <c r="H92" s="30">
        <v>4.33</v>
      </c>
      <c r="I92" s="30">
        <v>1.38</v>
      </c>
      <c r="J92" s="30">
        <v>2.95</v>
      </c>
      <c r="K92" t="s">
        <v>47</v>
      </c>
      <c r="L92" t="s">
        <v>23</v>
      </c>
      <c r="M92" s="30" t="str">
        <f t="shared" si="4"/>
        <v>Valid</v>
      </c>
      <c r="N92" s="30">
        <f t="shared" si="5"/>
        <v>1034.1801385681292</v>
      </c>
      <c r="O92" s="29">
        <f>_xlfn.XLOOKUP(D92,'Fleet Master'!$A$2:$A$9,'Fleet Master'!$D$2:$D$9)*H92</f>
        <v>324.75</v>
      </c>
      <c r="P92" t="str">
        <f t="shared" si="6"/>
        <v>Valid</v>
      </c>
      <c r="Q92" s="30">
        <f t="shared" si="7"/>
        <v>0.47096918267083521</v>
      </c>
    </row>
    <row r="93" spans="1:17" x14ac:dyDescent="0.3">
      <c r="A93" t="s">
        <v>33</v>
      </c>
      <c r="B93" t="s">
        <v>34</v>
      </c>
      <c r="C93" t="s">
        <v>25</v>
      </c>
      <c r="D93" t="s">
        <v>22</v>
      </c>
      <c r="E93" t="s">
        <v>23</v>
      </c>
      <c r="F93" s="29">
        <v>4650</v>
      </c>
      <c r="G93" s="29">
        <v>3990</v>
      </c>
      <c r="H93" s="30">
        <v>9.5399999999999991</v>
      </c>
      <c r="I93" s="30">
        <v>1.51</v>
      </c>
      <c r="J93" s="30">
        <v>8.0299999999999994</v>
      </c>
      <c r="K93" t="s">
        <v>33</v>
      </c>
      <c r="L93" t="s">
        <v>23</v>
      </c>
      <c r="M93" s="30" t="str">
        <f t="shared" si="4"/>
        <v>Valid</v>
      </c>
      <c r="N93" s="30">
        <f t="shared" si="5"/>
        <v>418.23899371069189</v>
      </c>
      <c r="O93" s="29">
        <f>_xlfn.XLOOKUP(D93,'Fleet Master'!$A$2:$A$9,'Fleet Master'!$D$2:$D$9)*H93</f>
        <v>715.49999999999989</v>
      </c>
      <c r="P93" t="str">
        <f t="shared" si="6"/>
        <v>Valid</v>
      </c>
      <c r="Q93" s="30">
        <f t="shared" si="7"/>
        <v>1.1654135338345866</v>
      </c>
    </row>
    <row r="94" spans="1:17" x14ac:dyDescent="0.3">
      <c r="A94" t="s">
        <v>33</v>
      </c>
      <c r="B94" t="s">
        <v>29</v>
      </c>
      <c r="C94" t="s">
        <v>21</v>
      </c>
      <c r="D94" t="s">
        <v>26</v>
      </c>
      <c r="E94" t="s">
        <v>27</v>
      </c>
      <c r="F94" s="29">
        <v>6717</v>
      </c>
      <c r="G94" s="29">
        <v>1572</v>
      </c>
      <c r="H94" s="30">
        <v>6.25</v>
      </c>
      <c r="I94" s="30">
        <v>1.89</v>
      </c>
      <c r="J94" s="30">
        <v>4.3600000000000003</v>
      </c>
      <c r="K94" t="s">
        <v>33</v>
      </c>
      <c r="L94" t="s">
        <v>27</v>
      </c>
      <c r="M94" s="30" t="str">
        <f t="shared" si="4"/>
        <v>Valid</v>
      </c>
      <c r="N94" s="30">
        <f t="shared" si="5"/>
        <v>251.52</v>
      </c>
      <c r="O94" s="29">
        <f>_xlfn.XLOOKUP(D94,'Fleet Master'!$A$2:$A$9,'Fleet Master'!$D$2:$D$9)*H94</f>
        <v>300</v>
      </c>
      <c r="P94" t="str">
        <f t="shared" si="6"/>
        <v>Valid</v>
      </c>
      <c r="Q94" s="30">
        <f t="shared" si="7"/>
        <v>4.2729007633587788</v>
      </c>
    </row>
    <row r="95" spans="1:17" x14ac:dyDescent="0.3">
      <c r="A95" t="s">
        <v>33</v>
      </c>
      <c r="B95" t="s">
        <v>29</v>
      </c>
      <c r="C95" t="s">
        <v>25</v>
      </c>
      <c r="D95" t="s">
        <v>26</v>
      </c>
      <c r="E95" t="s">
        <v>23</v>
      </c>
      <c r="F95" s="29">
        <v>2663</v>
      </c>
      <c r="G95" s="29">
        <v>5520</v>
      </c>
      <c r="H95" s="30">
        <v>5.88</v>
      </c>
      <c r="I95" s="30">
        <v>0.89</v>
      </c>
      <c r="J95" s="30">
        <v>4.99</v>
      </c>
      <c r="K95" t="s">
        <v>33</v>
      </c>
      <c r="L95" t="s">
        <v>23</v>
      </c>
      <c r="M95" s="30" t="str">
        <f t="shared" si="4"/>
        <v>Valid</v>
      </c>
      <c r="N95" s="30">
        <f t="shared" si="5"/>
        <v>938.77551020408168</v>
      </c>
      <c r="O95" s="29">
        <f>_xlfn.XLOOKUP(D95,'Fleet Master'!$A$2:$A$9,'Fleet Master'!$D$2:$D$9)*H95</f>
        <v>282.24</v>
      </c>
      <c r="P95" t="str">
        <f t="shared" si="6"/>
        <v>Valid</v>
      </c>
      <c r="Q95" s="30">
        <f t="shared" si="7"/>
        <v>0.48242753623188406</v>
      </c>
    </row>
    <row r="96" spans="1:17" x14ac:dyDescent="0.3">
      <c r="A96" t="s">
        <v>61</v>
      </c>
      <c r="B96" t="s">
        <v>34</v>
      </c>
      <c r="C96" t="s">
        <v>30</v>
      </c>
      <c r="D96" t="s">
        <v>22</v>
      </c>
      <c r="E96" t="s">
        <v>27</v>
      </c>
      <c r="F96" s="29">
        <v>7568</v>
      </c>
      <c r="G96" s="29">
        <v>4206</v>
      </c>
      <c r="H96" s="30">
        <v>8.2100000000000009</v>
      </c>
      <c r="I96" s="30">
        <v>0.84</v>
      </c>
      <c r="J96" s="30">
        <v>7.37</v>
      </c>
      <c r="K96" t="s">
        <v>61</v>
      </c>
      <c r="L96" t="s">
        <v>27</v>
      </c>
      <c r="M96" s="30" t="str">
        <f t="shared" si="4"/>
        <v>Valid</v>
      </c>
      <c r="N96" s="30">
        <f t="shared" si="5"/>
        <v>512.30207064555418</v>
      </c>
      <c r="O96" s="29">
        <f>_xlfn.XLOOKUP(D96,'Fleet Master'!$A$2:$A$9,'Fleet Master'!$D$2:$D$9)*H96</f>
        <v>615.75000000000011</v>
      </c>
      <c r="P96" t="str">
        <f t="shared" si="6"/>
        <v>Valid</v>
      </c>
      <c r="Q96" s="30">
        <f t="shared" si="7"/>
        <v>1.7993342843556823</v>
      </c>
    </row>
    <row r="97" spans="1:17" x14ac:dyDescent="0.3">
      <c r="A97" t="s">
        <v>61</v>
      </c>
      <c r="B97" t="s">
        <v>34</v>
      </c>
      <c r="C97" t="s">
        <v>21</v>
      </c>
      <c r="D97" t="s">
        <v>26</v>
      </c>
      <c r="E97" t="s">
        <v>23</v>
      </c>
      <c r="F97" s="29">
        <v>5430</v>
      </c>
      <c r="G97" s="29">
        <v>178</v>
      </c>
      <c r="H97" s="30">
        <v>6.24</v>
      </c>
      <c r="I97" s="30">
        <v>1.47</v>
      </c>
      <c r="J97" s="30">
        <v>4.7699999999999996</v>
      </c>
      <c r="K97" t="s">
        <v>61</v>
      </c>
      <c r="L97" t="s">
        <v>23</v>
      </c>
      <c r="M97" s="30" t="str">
        <f t="shared" si="4"/>
        <v>Valid</v>
      </c>
      <c r="N97" s="30">
        <f t="shared" si="5"/>
        <v>28.525641025641026</v>
      </c>
      <c r="O97" s="29">
        <f>_xlfn.XLOOKUP(D97,'Fleet Master'!$A$2:$A$9,'Fleet Master'!$D$2:$D$9)*H97</f>
        <v>299.52</v>
      </c>
      <c r="P97" t="str">
        <f t="shared" si="6"/>
        <v>Valid</v>
      </c>
      <c r="Q97" s="30">
        <f t="shared" si="7"/>
        <v>30.50561797752809</v>
      </c>
    </row>
    <row r="98" spans="1:17" x14ac:dyDescent="0.3">
      <c r="A98" t="s">
        <v>71</v>
      </c>
      <c r="B98" t="s">
        <v>34</v>
      </c>
      <c r="C98" t="s">
        <v>21</v>
      </c>
      <c r="D98" t="s">
        <v>26</v>
      </c>
      <c r="E98" t="s">
        <v>23</v>
      </c>
      <c r="F98" s="29">
        <v>680</v>
      </c>
      <c r="G98" s="29">
        <v>2580</v>
      </c>
      <c r="H98" s="30">
        <v>4.68</v>
      </c>
      <c r="I98" s="30">
        <v>1.22</v>
      </c>
      <c r="J98" s="30">
        <v>3.46</v>
      </c>
      <c r="K98" t="s">
        <v>71</v>
      </c>
      <c r="L98" t="s">
        <v>23</v>
      </c>
      <c r="M98" s="30" t="str">
        <f t="shared" si="4"/>
        <v>Valid</v>
      </c>
      <c r="N98" s="30">
        <f t="shared" si="5"/>
        <v>551.28205128205127</v>
      </c>
      <c r="O98" s="29">
        <f>_xlfn.XLOOKUP(D98,'Fleet Master'!$A$2:$A$9,'Fleet Master'!$D$2:$D$9)*H98</f>
        <v>224.64</v>
      </c>
      <c r="P98" t="str">
        <f t="shared" si="6"/>
        <v>Valid</v>
      </c>
      <c r="Q98" s="30">
        <f t="shared" si="7"/>
        <v>0.26356589147286824</v>
      </c>
    </row>
    <row r="99" spans="1:17" x14ac:dyDescent="0.3">
      <c r="A99" t="s">
        <v>71</v>
      </c>
      <c r="B99" t="s">
        <v>29</v>
      </c>
      <c r="C99" t="s">
        <v>30</v>
      </c>
      <c r="D99" t="s">
        <v>26</v>
      </c>
      <c r="E99" t="s">
        <v>27</v>
      </c>
      <c r="F99" s="29">
        <v>4431</v>
      </c>
      <c r="G99" s="29">
        <v>4959</v>
      </c>
      <c r="H99" s="30">
        <v>6.23</v>
      </c>
      <c r="I99" s="30">
        <v>1.1499999999999999</v>
      </c>
      <c r="J99" s="30">
        <v>5.08</v>
      </c>
      <c r="K99" t="s">
        <v>71</v>
      </c>
      <c r="L99" t="s">
        <v>27</v>
      </c>
      <c r="M99" s="30" t="str">
        <f t="shared" si="4"/>
        <v>Valid</v>
      </c>
      <c r="N99" s="30">
        <f t="shared" si="5"/>
        <v>795.98715890850713</v>
      </c>
      <c r="O99" s="29">
        <f>_xlfn.XLOOKUP(D99,'Fleet Master'!$A$2:$A$9,'Fleet Master'!$D$2:$D$9)*H99</f>
        <v>299.04000000000002</v>
      </c>
      <c r="P99" t="str">
        <f t="shared" si="6"/>
        <v>Valid</v>
      </c>
      <c r="Q99" s="30">
        <f t="shared" si="7"/>
        <v>0.89352692075015128</v>
      </c>
    </row>
    <row r="100" spans="1:17" x14ac:dyDescent="0.3">
      <c r="A100" t="s">
        <v>83</v>
      </c>
      <c r="B100" t="s">
        <v>20</v>
      </c>
      <c r="C100" t="s">
        <v>21</v>
      </c>
      <c r="D100" t="s">
        <v>22</v>
      </c>
      <c r="E100" t="s">
        <v>23</v>
      </c>
      <c r="F100" s="29">
        <v>6125</v>
      </c>
      <c r="G100" s="29">
        <v>4468</v>
      </c>
      <c r="H100" s="30">
        <v>6.57</v>
      </c>
      <c r="I100" s="30">
        <v>0.66</v>
      </c>
      <c r="J100" s="30">
        <v>5.91</v>
      </c>
      <c r="K100" t="s">
        <v>83</v>
      </c>
      <c r="L100" t="s">
        <v>23</v>
      </c>
      <c r="M100" s="30" t="str">
        <f t="shared" si="4"/>
        <v>Valid</v>
      </c>
      <c r="N100" s="30">
        <f t="shared" si="5"/>
        <v>680.06088280060885</v>
      </c>
      <c r="O100" s="29">
        <f>_xlfn.XLOOKUP(D100,'Fleet Master'!$A$2:$A$9,'Fleet Master'!$D$2:$D$9)*H100</f>
        <v>492.75</v>
      </c>
      <c r="P100" t="str">
        <f t="shared" si="6"/>
        <v>Valid</v>
      </c>
      <c r="Q100" s="30">
        <f t="shared" si="7"/>
        <v>1.3708594449418083</v>
      </c>
    </row>
    <row r="101" spans="1:17" x14ac:dyDescent="0.3">
      <c r="A101" t="s">
        <v>83</v>
      </c>
      <c r="B101" t="s">
        <v>29</v>
      </c>
      <c r="C101" t="s">
        <v>30</v>
      </c>
      <c r="D101" t="s">
        <v>26</v>
      </c>
      <c r="E101" t="s">
        <v>27</v>
      </c>
      <c r="F101" s="29">
        <v>7696</v>
      </c>
      <c r="G101" s="29">
        <v>1475</v>
      </c>
      <c r="H101" s="30">
        <v>4.8</v>
      </c>
      <c r="I101" s="30">
        <v>1.18</v>
      </c>
      <c r="J101" s="30">
        <v>3.62</v>
      </c>
      <c r="K101" t="s">
        <v>83</v>
      </c>
      <c r="L101" t="s">
        <v>27</v>
      </c>
      <c r="M101" s="30" t="str">
        <f t="shared" si="4"/>
        <v>Valid</v>
      </c>
      <c r="N101" s="30">
        <f t="shared" si="5"/>
        <v>307.29166666666669</v>
      </c>
      <c r="O101" s="29">
        <f>_xlfn.XLOOKUP(D101,'Fleet Master'!$A$2:$A$9,'Fleet Master'!$D$2:$D$9)*H101</f>
        <v>230.39999999999998</v>
      </c>
      <c r="P101" t="str">
        <f t="shared" si="6"/>
        <v>Valid</v>
      </c>
      <c r="Q101" s="30">
        <f t="shared" si="7"/>
        <v>5.2176271186440681</v>
      </c>
    </row>
    <row r="102" spans="1:17" x14ac:dyDescent="0.3">
      <c r="A102" t="s">
        <v>83</v>
      </c>
      <c r="B102" t="s">
        <v>20</v>
      </c>
      <c r="C102" t="s">
        <v>25</v>
      </c>
      <c r="D102" t="s">
        <v>26</v>
      </c>
      <c r="E102" t="s">
        <v>23</v>
      </c>
      <c r="F102" s="29">
        <v>1305</v>
      </c>
      <c r="G102" s="29">
        <v>4560</v>
      </c>
      <c r="H102" s="30">
        <v>5.07</v>
      </c>
      <c r="I102" s="30">
        <v>0.37</v>
      </c>
      <c r="J102" s="30">
        <v>4.7</v>
      </c>
      <c r="K102" t="s">
        <v>83</v>
      </c>
      <c r="L102" t="s">
        <v>23</v>
      </c>
      <c r="M102" s="30" t="str">
        <f t="shared" si="4"/>
        <v>Valid</v>
      </c>
      <c r="N102" s="30">
        <f t="shared" si="5"/>
        <v>899.40828402366856</v>
      </c>
      <c r="O102" s="29">
        <f>_xlfn.XLOOKUP(D102,'Fleet Master'!$A$2:$A$9,'Fleet Master'!$D$2:$D$9)*H102</f>
        <v>243.36</v>
      </c>
      <c r="P102" t="str">
        <f t="shared" si="6"/>
        <v>Valid</v>
      </c>
      <c r="Q102" s="30">
        <f t="shared" si="7"/>
        <v>0.28618421052631576</v>
      </c>
    </row>
    <row r="103" spans="1:17" x14ac:dyDescent="0.3">
      <c r="A103" t="s">
        <v>50</v>
      </c>
      <c r="B103" t="s">
        <v>29</v>
      </c>
      <c r="C103" t="s">
        <v>21</v>
      </c>
      <c r="D103" t="s">
        <v>31</v>
      </c>
      <c r="E103" t="s">
        <v>23</v>
      </c>
      <c r="F103" s="29">
        <v>1345</v>
      </c>
      <c r="G103" s="29">
        <v>2991</v>
      </c>
      <c r="H103" s="30">
        <v>8.98</v>
      </c>
      <c r="I103" s="30">
        <v>0.48</v>
      </c>
      <c r="J103" s="30">
        <v>8.5</v>
      </c>
      <c r="K103" t="s">
        <v>50</v>
      </c>
      <c r="L103" t="s">
        <v>23</v>
      </c>
      <c r="M103" s="30" t="str">
        <f t="shared" si="4"/>
        <v>Valid</v>
      </c>
      <c r="N103" s="30">
        <f t="shared" si="5"/>
        <v>333.07349665924272</v>
      </c>
      <c r="O103" s="29">
        <f>_xlfn.XLOOKUP(D103,'Fleet Master'!$A$2:$A$9,'Fleet Master'!$D$2:$D$9)*H103</f>
        <v>404.1</v>
      </c>
      <c r="P103" t="str">
        <f t="shared" si="6"/>
        <v>Valid</v>
      </c>
      <c r="Q103" s="30">
        <f t="shared" si="7"/>
        <v>0.44968238047475761</v>
      </c>
    </row>
    <row r="104" spans="1:17" x14ac:dyDescent="0.3">
      <c r="A104" t="s">
        <v>50</v>
      </c>
      <c r="B104" t="s">
        <v>20</v>
      </c>
      <c r="C104" t="s">
        <v>30</v>
      </c>
      <c r="D104" t="s">
        <v>22</v>
      </c>
      <c r="E104" t="s">
        <v>27</v>
      </c>
      <c r="F104" s="29">
        <v>5981</v>
      </c>
      <c r="G104" s="29">
        <v>6829</v>
      </c>
      <c r="H104" s="30">
        <v>4.92</v>
      </c>
      <c r="I104" s="30">
        <v>1.46</v>
      </c>
      <c r="J104" s="30">
        <v>3.46</v>
      </c>
      <c r="K104" t="s">
        <v>50</v>
      </c>
      <c r="L104" t="s">
        <v>27</v>
      </c>
      <c r="M104" s="30" t="str">
        <f t="shared" si="4"/>
        <v>Valid</v>
      </c>
      <c r="N104" s="30">
        <f t="shared" si="5"/>
        <v>1388.0081300813008</v>
      </c>
      <c r="O104" s="29">
        <f>_xlfn.XLOOKUP(D104,'Fleet Master'!$A$2:$A$9,'Fleet Master'!$D$2:$D$9)*H104</f>
        <v>369</v>
      </c>
      <c r="P104" t="str">
        <f t="shared" si="6"/>
        <v>Valid</v>
      </c>
      <c r="Q104" s="30">
        <f t="shared" si="7"/>
        <v>0.87582369307365648</v>
      </c>
    </row>
    <row r="105" spans="1:17" x14ac:dyDescent="0.3">
      <c r="A105" t="s">
        <v>50</v>
      </c>
      <c r="B105" t="s">
        <v>34</v>
      </c>
      <c r="C105" t="s">
        <v>25</v>
      </c>
      <c r="D105" t="s">
        <v>22</v>
      </c>
      <c r="E105" t="s">
        <v>23</v>
      </c>
      <c r="F105" s="29">
        <v>2342</v>
      </c>
      <c r="G105" s="29">
        <v>4730</v>
      </c>
      <c r="H105" s="30">
        <v>7.05</v>
      </c>
      <c r="I105" s="30">
        <v>0.25</v>
      </c>
      <c r="J105" s="30">
        <v>6.8</v>
      </c>
      <c r="K105" t="s">
        <v>50</v>
      </c>
      <c r="L105" t="s">
        <v>23</v>
      </c>
      <c r="M105" s="30" t="str">
        <f t="shared" si="4"/>
        <v>Valid</v>
      </c>
      <c r="N105" s="30">
        <f t="shared" si="5"/>
        <v>670.92198581560285</v>
      </c>
      <c r="O105" s="29">
        <f>_xlfn.XLOOKUP(D105,'Fleet Master'!$A$2:$A$9,'Fleet Master'!$D$2:$D$9)*H105</f>
        <v>528.75</v>
      </c>
      <c r="P105" t="str">
        <f t="shared" si="6"/>
        <v>Valid</v>
      </c>
      <c r="Q105" s="30">
        <f t="shared" si="7"/>
        <v>0.49513742071881606</v>
      </c>
    </row>
    <row r="106" spans="1:17" x14ac:dyDescent="0.3">
      <c r="A106" t="s">
        <v>68</v>
      </c>
      <c r="B106" t="s">
        <v>29</v>
      </c>
      <c r="C106" t="s">
        <v>21</v>
      </c>
      <c r="D106" t="s">
        <v>31</v>
      </c>
      <c r="E106" t="s">
        <v>27</v>
      </c>
      <c r="F106" s="29">
        <v>2122</v>
      </c>
      <c r="G106" s="29">
        <v>6499</v>
      </c>
      <c r="H106" s="30">
        <v>9.11</v>
      </c>
      <c r="I106" s="30">
        <v>0.28999999999999998</v>
      </c>
      <c r="J106" s="30">
        <v>8.82</v>
      </c>
      <c r="K106" t="s">
        <v>68</v>
      </c>
      <c r="L106" t="s">
        <v>27</v>
      </c>
      <c r="M106" s="30" t="str">
        <f t="shared" si="4"/>
        <v>Valid</v>
      </c>
      <c r="N106" s="30">
        <f t="shared" si="5"/>
        <v>713.3918770581779</v>
      </c>
      <c r="O106" s="29">
        <f>_xlfn.XLOOKUP(D106,'Fleet Master'!$A$2:$A$9,'Fleet Master'!$D$2:$D$9)*H106</f>
        <v>409.95</v>
      </c>
      <c r="P106" t="str">
        <f t="shared" si="6"/>
        <v>Valid</v>
      </c>
      <c r="Q106" s="30">
        <f t="shared" si="7"/>
        <v>0.32651177104169871</v>
      </c>
    </row>
    <row r="107" spans="1:17" x14ac:dyDescent="0.3">
      <c r="A107" t="s">
        <v>74</v>
      </c>
      <c r="B107" t="s">
        <v>29</v>
      </c>
      <c r="C107" t="s">
        <v>30</v>
      </c>
      <c r="D107" t="s">
        <v>26</v>
      </c>
      <c r="E107" t="s">
        <v>27</v>
      </c>
      <c r="F107" s="29">
        <v>4746</v>
      </c>
      <c r="G107" s="29">
        <v>2902</v>
      </c>
      <c r="H107" s="30">
        <v>4.88</v>
      </c>
      <c r="I107" s="30">
        <v>1.2</v>
      </c>
      <c r="J107" s="30">
        <v>3.68</v>
      </c>
      <c r="K107" t="s">
        <v>74</v>
      </c>
      <c r="L107" t="s">
        <v>27</v>
      </c>
      <c r="M107" s="30" t="str">
        <f t="shared" si="4"/>
        <v>Valid</v>
      </c>
      <c r="N107" s="30">
        <f t="shared" si="5"/>
        <v>594.67213114754099</v>
      </c>
      <c r="O107" s="29">
        <f>_xlfn.XLOOKUP(D107,'Fleet Master'!$A$2:$A$9,'Fleet Master'!$D$2:$D$9)*H107</f>
        <v>234.24</v>
      </c>
      <c r="P107" t="str">
        <f t="shared" si="6"/>
        <v>Valid</v>
      </c>
      <c r="Q107" s="30">
        <f t="shared" si="7"/>
        <v>1.6354238456237078</v>
      </c>
    </row>
    <row r="108" spans="1:17" x14ac:dyDescent="0.3">
      <c r="A108" t="s">
        <v>74</v>
      </c>
      <c r="B108" t="s">
        <v>29</v>
      </c>
      <c r="C108" t="s">
        <v>25</v>
      </c>
      <c r="D108" t="s">
        <v>22</v>
      </c>
      <c r="E108" t="s">
        <v>23</v>
      </c>
      <c r="F108" s="29">
        <v>4646</v>
      </c>
      <c r="G108" s="29">
        <v>6633</v>
      </c>
      <c r="H108" s="30">
        <v>8.1300000000000008</v>
      </c>
      <c r="I108" s="30">
        <v>0.82</v>
      </c>
      <c r="J108" s="30">
        <v>7.31</v>
      </c>
      <c r="K108" t="s">
        <v>74</v>
      </c>
      <c r="L108" t="s">
        <v>23</v>
      </c>
      <c r="M108" s="30" t="str">
        <f t="shared" si="4"/>
        <v>Valid</v>
      </c>
      <c r="N108" s="30">
        <f t="shared" si="5"/>
        <v>815.86715867158659</v>
      </c>
      <c r="O108" s="29">
        <f>_xlfn.XLOOKUP(D108,'Fleet Master'!$A$2:$A$9,'Fleet Master'!$D$2:$D$9)*H108</f>
        <v>609.75000000000011</v>
      </c>
      <c r="P108" t="str">
        <f t="shared" si="6"/>
        <v>Valid</v>
      </c>
      <c r="Q108" s="30">
        <f t="shared" si="7"/>
        <v>0.7004372078998945</v>
      </c>
    </row>
    <row r="109" spans="1:17" x14ac:dyDescent="0.3">
      <c r="A109" t="s">
        <v>82</v>
      </c>
      <c r="B109" t="s">
        <v>29</v>
      </c>
      <c r="C109" t="s">
        <v>25</v>
      </c>
      <c r="D109" t="s">
        <v>31</v>
      </c>
      <c r="E109" t="s">
        <v>23</v>
      </c>
      <c r="F109" s="29">
        <v>5891</v>
      </c>
      <c r="G109" s="29">
        <v>2601</v>
      </c>
      <c r="H109" s="30">
        <v>7.52</v>
      </c>
      <c r="I109" s="30">
        <v>2</v>
      </c>
      <c r="J109" s="30">
        <v>5.52</v>
      </c>
      <c r="K109" t="s">
        <v>82</v>
      </c>
      <c r="L109" t="s">
        <v>23</v>
      </c>
      <c r="M109" s="30" t="str">
        <f t="shared" si="4"/>
        <v>Valid</v>
      </c>
      <c r="N109" s="30">
        <f t="shared" si="5"/>
        <v>345.87765957446811</v>
      </c>
      <c r="O109" s="29">
        <f>_xlfn.XLOOKUP(D109,'Fleet Master'!$A$2:$A$9,'Fleet Master'!$D$2:$D$9)*H109</f>
        <v>338.4</v>
      </c>
      <c r="P109" t="str">
        <f t="shared" si="6"/>
        <v>Valid</v>
      </c>
      <c r="Q109" s="30">
        <f t="shared" si="7"/>
        <v>2.2648981161091886</v>
      </c>
    </row>
    <row r="110" spans="1:17" x14ac:dyDescent="0.3">
      <c r="A110" t="s">
        <v>62</v>
      </c>
      <c r="B110" t="s">
        <v>20</v>
      </c>
      <c r="C110" t="s">
        <v>30</v>
      </c>
      <c r="D110" t="s">
        <v>26</v>
      </c>
      <c r="E110" t="s">
        <v>23</v>
      </c>
      <c r="F110" s="29">
        <v>6813</v>
      </c>
      <c r="G110" s="29">
        <v>1589</v>
      </c>
      <c r="H110" s="30">
        <v>6.28</v>
      </c>
      <c r="I110" s="30">
        <v>0.86</v>
      </c>
      <c r="J110" s="30">
        <v>5.42</v>
      </c>
      <c r="K110" t="s">
        <v>62</v>
      </c>
      <c r="L110" t="s">
        <v>23</v>
      </c>
      <c r="M110" s="30" t="str">
        <f t="shared" si="4"/>
        <v>Valid</v>
      </c>
      <c r="N110" s="30">
        <f t="shared" si="5"/>
        <v>253.02547770700636</v>
      </c>
      <c r="O110" s="29">
        <f>_xlfn.XLOOKUP(D110,'Fleet Master'!$A$2:$A$9,'Fleet Master'!$D$2:$D$9)*H110</f>
        <v>301.44</v>
      </c>
      <c r="P110" t="str">
        <f t="shared" si="6"/>
        <v>Valid</v>
      </c>
      <c r="Q110" s="30">
        <f t="shared" si="7"/>
        <v>4.2876022655758339</v>
      </c>
    </row>
    <row r="111" spans="1:17" x14ac:dyDescent="0.3">
      <c r="A111" t="s">
        <v>38</v>
      </c>
      <c r="B111" t="s">
        <v>20</v>
      </c>
      <c r="C111" t="s">
        <v>25</v>
      </c>
      <c r="D111" t="s">
        <v>26</v>
      </c>
      <c r="E111" t="s">
        <v>23</v>
      </c>
      <c r="F111" s="29">
        <v>6864</v>
      </c>
      <c r="G111" s="29">
        <v>455</v>
      </c>
      <c r="H111" s="30">
        <v>8.11</v>
      </c>
      <c r="I111" s="30">
        <v>1.58</v>
      </c>
      <c r="J111" s="30">
        <v>6.53</v>
      </c>
      <c r="K111" t="s">
        <v>38</v>
      </c>
      <c r="L111" t="s">
        <v>23</v>
      </c>
      <c r="M111" s="30" t="str">
        <f t="shared" si="4"/>
        <v>Valid</v>
      </c>
      <c r="N111" s="30">
        <f t="shared" si="5"/>
        <v>56.1035758323058</v>
      </c>
      <c r="O111" s="29">
        <f>_xlfn.XLOOKUP(D111,'Fleet Master'!$A$2:$A$9,'Fleet Master'!$D$2:$D$9)*H111</f>
        <v>389.28</v>
      </c>
      <c r="P111" t="str">
        <f t="shared" si="6"/>
        <v>Valid</v>
      </c>
      <c r="Q111" s="30">
        <f t="shared" si="7"/>
        <v>15.085714285714285</v>
      </c>
    </row>
    <row r="112" spans="1:17" x14ac:dyDescent="0.3">
      <c r="A112" t="s">
        <v>38</v>
      </c>
      <c r="B112" t="s">
        <v>34</v>
      </c>
      <c r="C112" t="s">
        <v>30</v>
      </c>
      <c r="D112" t="s">
        <v>22</v>
      </c>
      <c r="E112" t="s">
        <v>27</v>
      </c>
      <c r="F112" s="29">
        <v>7832</v>
      </c>
      <c r="G112" s="29">
        <v>6630</v>
      </c>
      <c r="H112" s="30">
        <v>6.29</v>
      </c>
      <c r="I112" s="30">
        <v>1.53</v>
      </c>
      <c r="J112" s="30">
        <v>4.76</v>
      </c>
      <c r="K112" t="s">
        <v>38</v>
      </c>
      <c r="L112" t="s">
        <v>27</v>
      </c>
      <c r="M112" s="30" t="str">
        <f t="shared" si="4"/>
        <v>Valid</v>
      </c>
      <c r="N112" s="30">
        <f t="shared" si="5"/>
        <v>1054.0540540540539</v>
      </c>
      <c r="O112" s="29">
        <f>_xlfn.XLOOKUP(D112,'Fleet Master'!$A$2:$A$9,'Fleet Master'!$D$2:$D$9)*H112</f>
        <v>471.75</v>
      </c>
      <c r="P112" t="str">
        <f t="shared" si="6"/>
        <v>Valid</v>
      </c>
      <c r="Q112" s="30">
        <f t="shared" si="7"/>
        <v>1.1812971342383107</v>
      </c>
    </row>
    <row r="113" spans="1:17" x14ac:dyDescent="0.3">
      <c r="A113" t="s">
        <v>38</v>
      </c>
      <c r="B113" t="s">
        <v>29</v>
      </c>
      <c r="C113" t="s">
        <v>21</v>
      </c>
      <c r="D113" t="s">
        <v>26</v>
      </c>
      <c r="E113" t="s">
        <v>32</v>
      </c>
      <c r="F113" s="29">
        <v>4816</v>
      </c>
      <c r="G113" s="29">
        <v>1936</v>
      </c>
      <c r="H113" s="30">
        <v>8.69</v>
      </c>
      <c r="I113" s="30">
        <v>1.75</v>
      </c>
      <c r="J113" s="30">
        <v>6.94</v>
      </c>
      <c r="K113" t="s">
        <v>38</v>
      </c>
      <c r="L113" t="s">
        <v>23</v>
      </c>
      <c r="M113" s="30" t="str">
        <f t="shared" si="4"/>
        <v>Valid</v>
      </c>
      <c r="N113" s="30">
        <f t="shared" si="5"/>
        <v>222.7848101265823</v>
      </c>
      <c r="O113" s="29">
        <f>_xlfn.XLOOKUP(D113,'Fleet Master'!$A$2:$A$9,'Fleet Master'!$D$2:$D$9)*H113</f>
        <v>417.12</v>
      </c>
      <c r="P113" t="str">
        <f t="shared" si="6"/>
        <v>Valid</v>
      </c>
      <c r="Q113" s="30">
        <f t="shared" si="7"/>
        <v>2.4876033057851239</v>
      </c>
    </row>
    <row r="114" spans="1:17" x14ac:dyDescent="0.3">
      <c r="A114" t="s">
        <v>73</v>
      </c>
      <c r="B114" t="s">
        <v>20</v>
      </c>
      <c r="C114" t="s">
        <v>25</v>
      </c>
      <c r="D114" t="s">
        <v>26</v>
      </c>
      <c r="E114" t="s">
        <v>23</v>
      </c>
      <c r="F114" s="29">
        <v>3975</v>
      </c>
      <c r="G114" s="29">
        <v>715</v>
      </c>
      <c r="H114" s="30">
        <v>5.37</v>
      </c>
      <c r="I114" s="30">
        <v>0.45</v>
      </c>
      <c r="J114" s="30">
        <v>4.92</v>
      </c>
      <c r="K114" t="s">
        <v>73</v>
      </c>
      <c r="L114" t="s">
        <v>23</v>
      </c>
      <c r="M114" s="30" t="str">
        <f t="shared" si="4"/>
        <v>Valid</v>
      </c>
      <c r="N114" s="30">
        <f t="shared" si="5"/>
        <v>133.14711359404097</v>
      </c>
      <c r="O114" s="29">
        <f>_xlfn.XLOOKUP(D114,'Fleet Master'!$A$2:$A$9,'Fleet Master'!$D$2:$D$9)*H114</f>
        <v>257.76</v>
      </c>
      <c r="P114" t="str">
        <f t="shared" si="6"/>
        <v>Valid</v>
      </c>
      <c r="Q114" s="30">
        <f t="shared" si="7"/>
        <v>5.5594405594405591</v>
      </c>
    </row>
    <row r="115" spans="1:17" x14ac:dyDescent="0.3">
      <c r="A115" t="s">
        <v>73</v>
      </c>
      <c r="B115" t="s">
        <v>29</v>
      </c>
      <c r="C115" t="s">
        <v>21</v>
      </c>
      <c r="D115" t="s">
        <v>22</v>
      </c>
      <c r="E115" t="s">
        <v>27</v>
      </c>
      <c r="F115" s="29">
        <v>8555</v>
      </c>
      <c r="G115" s="29">
        <v>4093</v>
      </c>
      <c r="H115" s="30">
        <v>8.85</v>
      </c>
      <c r="I115" s="30">
        <v>0.72</v>
      </c>
      <c r="J115" s="30">
        <v>8.1300000000000008</v>
      </c>
      <c r="K115" t="s">
        <v>73</v>
      </c>
      <c r="L115" t="s">
        <v>27</v>
      </c>
      <c r="M115" s="30" t="str">
        <f t="shared" si="4"/>
        <v>Valid</v>
      </c>
      <c r="N115" s="30">
        <f t="shared" si="5"/>
        <v>462.4858757062147</v>
      </c>
      <c r="O115" s="29">
        <f>_xlfn.XLOOKUP(D115,'Fleet Master'!$A$2:$A$9,'Fleet Master'!$D$2:$D$9)*H115</f>
        <v>663.75</v>
      </c>
      <c r="P115" t="str">
        <f t="shared" si="6"/>
        <v>Valid</v>
      </c>
      <c r="Q115" s="30">
        <f t="shared" si="7"/>
        <v>2.0901539213290983</v>
      </c>
    </row>
    <row r="116" spans="1:17" x14ac:dyDescent="0.3">
      <c r="A116" t="s">
        <v>60</v>
      </c>
      <c r="B116" t="s">
        <v>20</v>
      </c>
      <c r="C116" t="s">
        <v>21</v>
      </c>
      <c r="D116" t="s">
        <v>26</v>
      </c>
      <c r="E116" t="s">
        <v>23</v>
      </c>
      <c r="F116" s="29">
        <v>4148</v>
      </c>
      <c r="G116" s="29">
        <v>611</v>
      </c>
      <c r="H116" s="30">
        <v>9.7200000000000006</v>
      </c>
      <c r="I116" s="30">
        <v>0.26</v>
      </c>
      <c r="J116" s="30">
        <v>9.4600000000000009</v>
      </c>
      <c r="K116" t="s">
        <v>60</v>
      </c>
      <c r="L116" t="s">
        <v>23</v>
      </c>
      <c r="M116" s="30" t="str">
        <f t="shared" si="4"/>
        <v>Valid</v>
      </c>
      <c r="N116" s="30">
        <f t="shared" si="5"/>
        <v>62.860082304526742</v>
      </c>
      <c r="O116" s="29">
        <f>_xlfn.XLOOKUP(D116,'Fleet Master'!$A$2:$A$9,'Fleet Master'!$D$2:$D$9)*H116</f>
        <v>466.56000000000006</v>
      </c>
      <c r="P116" t="str">
        <f t="shared" si="6"/>
        <v>Valid</v>
      </c>
      <c r="Q116" s="30">
        <f t="shared" si="7"/>
        <v>6.7888707037643208</v>
      </c>
    </row>
    <row r="117" spans="1:17" x14ac:dyDescent="0.3">
      <c r="A117" t="s">
        <v>60</v>
      </c>
      <c r="B117" t="s">
        <v>20</v>
      </c>
      <c r="C117" t="s">
        <v>21</v>
      </c>
      <c r="D117" t="s">
        <v>31</v>
      </c>
      <c r="E117" t="s">
        <v>23</v>
      </c>
      <c r="F117" s="29">
        <v>1176</v>
      </c>
      <c r="G117" s="29">
        <v>2166</v>
      </c>
      <c r="H117" s="30">
        <v>6.88</v>
      </c>
      <c r="I117" s="30">
        <v>0.91</v>
      </c>
      <c r="J117" s="30">
        <v>5.97</v>
      </c>
      <c r="K117" t="s">
        <v>60</v>
      </c>
      <c r="L117" t="s">
        <v>23</v>
      </c>
      <c r="M117" s="30" t="str">
        <f t="shared" si="4"/>
        <v>Valid</v>
      </c>
      <c r="N117" s="30">
        <f t="shared" si="5"/>
        <v>314.82558139534882</v>
      </c>
      <c r="O117" s="29">
        <f>_xlfn.XLOOKUP(D117,'Fleet Master'!$A$2:$A$9,'Fleet Master'!$D$2:$D$9)*H117</f>
        <v>309.60000000000002</v>
      </c>
      <c r="P117" t="str">
        <f t="shared" si="6"/>
        <v>Valid</v>
      </c>
      <c r="Q117" s="30">
        <f t="shared" si="7"/>
        <v>0.54293628808864269</v>
      </c>
    </row>
    <row r="118" spans="1:17" x14ac:dyDescent="0.3">
      <c r="A118" t="s">
        <v>60</v>
      </c>
      <c r="B118" t="s">
        <v>34</v>
      </c>
      <c r="C118" t="s">
        <v>21</v>
      </c>
      <c r="D118" t="s">
        <v>26</v>
      </c>
      <c r="E118" t="s">
        <v>27</v>
      </c>
      <c r="F118" s="29">
        <v>7515</v>
      </c>
      <c r="G118" s="29">
        <v>6694</v>
      </c>
      <c r="H118" s="30">
        <v>9.9600000000000009</v>
      </c>
      <c r="I118" s="30">
        <v>0.57999999999999996</v>
      </c>
      <c r="J118" s="30">
        <v>9.3800000000000008</v>
      </c>
      <c r="K118" t="s">
        <v>60</v>
      </c>
      <c r="L118" t="s">
        <v>27</v>
      </c>
      <c r="M118" s="30" t="str">
        <f t="shared" si="4"/>
        <v>Valid</v>
      </c>
      <c r="N118" s="30">
        <f t="shared" si="5"/>
        <v>672.08835341365454</v>
      </c>
      <c r="O118" s="29">
        <f>_xlfn.XLOOKUP(D118,'Fleet Master'!$A$2:$A$9,'Fleet Master'!$D$2:$D$9)*H118</f>
        <v>478.08000000000004</v>
      </c>
      <c r="P118" t="str">
        <f t="shared" si="6"/>
        <v>Valid</v>
      </c>
      <c r="Q118" s="30">
        <f t="shared" si="7"/>
        <v>1.1226471466985359</v>
      </c>
    </row>
    <row r="119" spans="1:17" x14ac:dyDescent="0.3">
      <c r="A119" t="s">
        <v>60</v>
      </c>
      <c r="B119" t="s">
        <v>29</v>
      </c>
      <c r="C119" t="s">
        <v>25</v>
      </c>
      <c r="D119" t="s">
        <v>22</v>
      </c>
      <c r="E119" t="s">
        <v>27</v>
      </c>
      <c r="F119" s="29">
        <v>3022</v>
      </c>
      <c r="G119" s="29">
        <v>2413</v>
      </c>
      <c r="H119" s="30">
        <v>5.17</v>
      </c>
      <c r="I119" s="30">
        <v>0.24</v>
      </c>
      <c r="J119" s="30">
        <v>4.93</v>
      </c>
      <c r="K119" t="s">
        <v>60</v>
      </c>
      <c r="L119" t="s">
        <v>27</v>
      </c>
      <c r="M119" s="30" t="str">
        <f t="shared" si="4"/>
        <v>Valid</v>
      </c>
      <c r="N119" s="30">
        <f t="shared" si="5"/>
        <v>466.73114119922633</v>
      </c>
      <c r="O119" s="29">
        <f>_xlfn.XLOOKUP(D119,'Fleet Master'!$A$2:$A$9,'Fleet Master'!$D$2:$D$9)*H119</f>
        <v>387.75</v>
      </c>
      <c r="P119" t="str">
        <f t="shared" si="6"/>
        <v>Valid</v>
      </c>
      <c r="Q119" s="30">
        <f t="shared" si="7"/>
        <v>1.2523829258184833</v>
      </c>
    </row>
    <row r="120" spans="1:17" x14ac:dyDescent="0.3">
      <c r="A120" t="s">
        <v>101</v>
      </c>
      <c r="B120" t="s">
        <v>20</v>
      </c>
      <c r="C120" t="s">
        <v>21</v>
      </c>
      <c r="D120" t="s">
        <v>22</v>
      </c>
      <c r="E120" t="s">
        <v>27</v>
      </c>
      <c r="F120" s="29">
        <v>665</v>
      </c>
      <c r="G120" s="29">
        <v>1955</v>
      </c>
      <c r="H120" s="30">
        <v>4.79</v>
      </c>
      <c r="I120" s="30">
        <v>0.49</v>
      </c>
      <c r="J120" s="30">
        <v>4.3</v>
      </c>
      <c r="K120" t="s">
        <v>101</v>
      </c>
      <c r="L120" t="s">
        <v>27</v>
      </c>
      <c r="M120" s="30" t="str">
        <f t="shared" si="4"/>
        <v>Valid</v>
      </c>
      <c r="N120" s="30">
        <f t="shared" si="5"/>
        <v>408.14196242171192</v>
      </c>
      <c r="O120" s="29">
        <f>_xlfn.XLOOKUP(D120,'Fleet Master'!$A$2:$A$9,'Fleet Master'!$D$2:$D$9)*H120</f>
        <v>359.25</v>
      </c>
      <c r="P120" t="str">
        <f t="shared" si="6"/>
        <v>Valid</v>
      </c>
      <c r="Q120" s="30">
        <f t="shared" si="7"/>
        <v>0.34015345268542202</v>
      </c>
    </row>
    <row r="121" spans="1:17" x14ac:dyDescent="0.3">
      <c r="A121" t="s">
        <v>52</v>
      </c>
      <c r="B121" t="s">
        <v>29</v>
      </c>
      <c r="C121" t="s">
        <v>25</v>
      </c>
      <c r="D121" t="s">
        <v>22</v>
      </c>
      <c r="E121" t="s">
        <v>27</v>
      </c>
      <c r="F121" s="29">
        <v>2517</v>
      </c>
      <c r="G121" s="29">
        <v>2861</v>
      </c>
      <c r="H121" s="30">
        <v>8.2899999999999991</v>
      </c>
      <c r="I121" s="30">
        <v>1.98</v>
      </c>
      <c r="J121" s="30">
        <v>6.31</v>
      </c>
      <c r="K121" t="s">
        <v>101</v>
      </c>
      <c r="L121" t="s">
        <v>27</v>
      </c>
      <c r="M121" s="30" t="str">
        <f t="shared" si="4"/>
        <v>Valid</v>
      </c>
      <c r="N121" s="30">
        <f t="shared" si="5"/>
        <v>345.11459589867314</v>
      </c>
      <c r="O121" s="29">
        <f>_xlfn.XLOOKUP(D121,'Fleet Master'!$A$2:$A$9,'Fleet Master'!$D$2:$D$9)*H121</f>
        <v>621.74999999999989</v>
      </c>
      <c r="P121" t="str">
        <f t="shared" si="6"/>
        <v>Valid</v>
      </c>
      <c r="Q121" s="30">
        <f t="shared" si="7"/>
        <v>0.87976232086682982</v>
      </c>
    </row>
    <row r="122" spans="1:17" x14ac:dyDescent="0.3">
      <c r="A122" t="s">
        <v>100</v>
      </c>
      <c r="B122" t="s">
        <v>29</v>
      </c>
      <c r="C122" t="s">
        <v>30</v>
      </c>
      <c r="D122" t="s">
        <v>22</v>
      </c>
      <c r="E122" t="s">
        <v>23</v>
      </c>
      <c r="F122" s="29">
        <v>8259</v>
      </c>
      <c r="G122" s="29">
        <v>4855</v>
      </c>
      <c r="H122" s="30">
        <v>4.7</v>
      </c>
      <c r="I122" s="30">
        <v>0.02</v>
      </c>
      <c r="J122" s="30">
        <v>4.68</v>
      </c>
      <c r="K122" t="s">
        <v>100</v>
      </c>
      <c r="L122" t="s">
        <v>23</v>
      </c>
      <c r="M122" s="30" t="str">
        <f t="shared" si="4"/>
        <v>Valid</v>
      </c>
      <c r="N122" s="30">
        <f t="shared" si="5"/>
        <v>1032.9787234042553</v>
      </c>
      <c r="O122" s="29">
        <f>_xlfn.XLOOKUP(D122,'Fleet Master'!$A$2:$A$9,'Fleet Master'!$D$2:$D$9)*H122</f>
        <v>352.5</v>
      </c>
      <c r="P122" t="str">
        <f t="shared" si="6"/>
        <v>Valid</v>
      </c>
      <c r="Q122" s="30">
        <f t="shared" si="7"/>
        <v>1.7011328527291452</v>
      </c>
    </row>
    <row r="123" spans="1:17" x14ac:dyDescent="0.3">
      <c r="A123" t="s">
        <v>100</v>
      </c>
      <c r="B123" t="s">
        <v>29</v>
      </c>
      <c r="C123" t="s">
        <v>21</v>
      </c>
      <c r="D123" t="s">
        <v>22</v>
      </c>
      <c r="E123" t="s">
        <v>27</v>
      </c>
      <c r="F123" s="29">
        <v>8357</v>
      </c>
      <c r="G123" s="29">
        <v>5548</v>
      </c>
      <c r="H123" s="30">
        <v>7.02</v>
      </c>
      <c r="I123" s="30">
        <v>1</v>
      </c>
      <c r="J123" s="30">
        <v>6.02</v>
      </c>
      <c r="K123" t="s">
        <v>100</v>
      </c>
      <c r="L123" t="s">
        <v>27</v>
      </c>
      <c r="M123" s="30" t="str">
        <f t="shared" si="4"/>
        <v>Valid</v>
      </c>
      <c r="N123" s="30">
        <f t="shared" si="5"/>
        <v>790.31339031339041</v>
      </c>
      <c r="O123" s="29">
        <f>_xlfn.XLOOKUP(D123,'Fleet Master'!$A$2:$A$9,'Fleet Master'!$D$2:$D$9)*H123</f>
        <v>526.5</v>
      </c>
      <c r="P123" t="str">
        <f t="shared" si="6"/>
        <v>Valid</v>
      </c>
      <c r="Q123" s="30">
        <f t="shared" si="7"/>
        <v>1.5063085796683489</v>
      </c>
    </row>
    <row r="124" spans="1:17" x14ac:dyDescent="0.3">
      <c r="A124" t="s">
        <v>79</v>
      </c>
      <c r="B124" t="s">
        <v>29</v>
      </c>
      <c r="C124" t="s">
        <v>30</v>
      </c>
      <c r="D124" t="s">
        <v>22</v>
      </c>
      <c r="E124" t="s">
        <v>23</v>
      </c>
      <c r="F124" s="29">
        <v>8083</v>
      </c>
      <c r="G124" s="29">
        <v>3127</v>
      </c>
      <c r="H124" s="30">
        <v>9.2799999999999994</v>
      </c>
      <c r="I124" s="30">
        <v>1.96</v>
      </c>
      <c r="J124" s="30">
        <v>7.32</v>
      </c>
      <c r="K124" t="s">
        <v>79</v>
      </c>
      <c r="L124" t="s">
        <v>23</v>
      </c>
      <c r="M124" s="30" t="str">
        <f t="shared" si="4"/>
        <v>Valid</v>
      </c>
      <c r="N124" s="30">
        <f t="shared" si="5"/>
        <v>336.96120689655174</v>
      </c>
      <c r="O124" s="29">
        <f>_xlfn.XLOOKUP(D124,'Fleet Master'!$A$2:$A$9,'Fleet Master'!$D$2:$D$9)*H124</f>
        <v>696</v>
      </c>
      <c r="P124" t="str">
        <f t="shared" si="6"/>
        <v>Valid</v>
      </c>
      <c r="Q124" s="30">
        <f t="shared" si="7"/>
        <v>2.5849056603773586</v>
      </c>
    </row>
    <row r="125" spans="1:17" x14ac:dyDescent="0.3">
      <c r="A125" t="s">
        <v>79</v>
      </c>
      <c r="B125" t="s">
        <v>29</v>
      </c>
      <c r="C125" t="s">
        <v>25</v>
      </c>
      <c r="D125" t="s">
        <v>22</v>
      </c>
      <c r="E125" t="s">
        <v>27</v>
      </c>
      <c r="F125" s="29">
        <v>5632</v>
      </c>
      <c r="G125" s="29">
        <v>3558</v>
      </c>
      <c r="H125" s="30">
        <v>9.18</v>
      </c>
      <c r="I125" s="30">
        <v>1.72</v>
      </c>
      <c r="J125" s="30">
        <v>7.46</v>
      </c>
      <c r="K125" t="s">
        <v>79</v>
      </c>
      <c r="L125" t="s">
        <v>27</v>
      </c>
      <c r="M125" s="30" t="str">
        <f t="shared" si="4"/>
        <v>Valid</v>
      </c>
      <c r="N125" s="30">
        <f t="shared" si="5"/>
        <v>387.58169934640523</v>
      </c>
      <c r="O125" s="29">
        <f>_xlfn.XLOOKUP(D125,'Fleet Master'!$A$2:$A$9,'Fleet Master'!$D$2:$D$9)*H125</f>
        <v>688.5</v>
      </c>
      <c r="P125" t="str">
        <f t="shared" si="6"/>
        <v>Valid</v>
      </c>
      <c r="Q125" s="30">
        <f t="shared" si="7"/>
        <v>1.582911748173131</v>
      </c>
    </row>
    <row r="126" spans="1:17" x14ac:dyDescent="0.3">
      <c r="A126" t="s">
        <v>79</v>
      </c>
      <c r="B126" t="s">
        <v>20</v>
      </c>
      <c r="C126" t="s">
        <v>30</v>
      </c>
      <c r="D126" t="s">
        <v>22</v>
      </c>
      <c r="E126" t="s">
        <v>23</v>
      </c>
      <c r="F126" s="29">
        <v>8083</v>
      </c>
      <c r="G126" s="29">
        <v>3127</v>
      </c>
      <c r="H126" s="30">
        <v>9.2799999999999994</v>
      </c>
      <c r="I126" s="30">
        <v>1.96</v>
      </c>
      <c r="J126" s="30">
        <v>7.32</v>
      </c>
      <c r="K126" t="s">
        <v>79</v>
      </c>
      <c r="L126" t="s">
        <v>23</v>
      </c>
      <c r="M126" s="30" t="str">
        <f t="shared" si="4"/>
        <v>Valid</v>
      </c>
      <c r="N126" s="30">
        <f t="shared" si="5"/>
        <v>336.96120689655174</v>
      </c>
      <c r="O126" s="29">
        <f>_xlfn.XLOOKUP(D126,'Fleet Master'!$A$2:$A$9,'Fleet Master'!$D$2:$D$9)*H126</f>
        <v>696</v>
      </c>
      <c r="P126" t="str">
        <f t="shared" si="6"/>
        <v>Valid</v>
      </c>
      <c r="Q126" s="30">
        <f t="shared" si="7"/>
        <v>2.5849056603773586</v>
      </c>
    </row>
    <row r="127" spans="1:17" x14ac:dyDescent="0.3">
      <c r="A127" t="s">
        <v>37</v>
      </c>
      <c r="B127" t="s">
        <v>20</v>
      </c>
      <c r="C127" t="s">
        <v>30</v>
      </c>
      <c r="D127" t="s">
        <v>26</v>
      </c>
      <c r="E127" t="s">
        <v>27</v>
      </c>
      <c r="F127" s="29">
        <v>716</v>
      </c>
      <c r="G127" s="29">
        <v>3026</v>
      </c>
      <c r="H127" s="30">
        <v>9.6199999999999992</v>
      </c>
      <c r="I127" s="30">
        <v>0.9</v>
      </c>
      <c r="J127" s="30">
        <v>8.7200000000000006</v>
      </c>
      <c r="K127" t="s">
        <v>37</v>
      </c>
      <c r="L127" t="s">
        <v>27</v>
      </c>
      <c r="M127" s="30" t="str">
        <f t="shared" si="4"/>
        <v>Valid</v>
      </c>
      <c r="N127" s="30">
        <f t="shared" si="5"/>
        <v>314.55301455301458</v>
      </c>
      <c r="O127" s="29">
        <f>_xlfn.XLOOKUP(D127,'Fleet Master'!$A$2:$A$9,'Fleet Master'!$D$2:$D$9)*H127</f>
        <v>461.76</v>
      </c>
      <c r="P127" t="str">
        <f t="shared" si="6"/>
        <v>Valid</v>
      </c>
      <c r="Q127" s="30">
        <f t="shared" si="7"/>
        <v>0.23661599471249173</v>
      </c>
    </row>
    <row r="128" spans="1:17" x14ac:dyDescent="0.3">
      <c r="A128" t="s">
        <v>44</v>
      </c>
      <c r="B128" t="s">
        <v>20</v>
      </c>
      <c r="C128" t="s">
        <v>25</v>
      </c>
      <c r="D128" t="s">
        <v>26</v>
      </c>
      <c r="E128" t="s">
        <v>23</v>
      </c>
      <c r="F128" s="29">
        <v>6492</v>
      </c>
      <c r="G128" s="29">
        <v>3242</v>
      </c>
      <c r="H128" s="30">
        <v>9.83</v>
      </c>
      <c r="I128" s="30">
        <v>1.76</v>
      </c>
      <c r="J128" s="30">
        <v>8.07</v>
      </c>
      <c r="K128" t="s">
        <v>44</v>
      </c>
      <c r="L128" t="s">
        <v>23</v>
      </c>
      <c r="M128" s="30" t="str">
        <f t="shared" si="4"/>
        <v>Valid</v>
      </c>
      <c r="N128" s="30">
        <f t="shared" si="5"/>
        <v>329.80671414038659</v>
      </c>
      <c r="O128" s="29">
        <f>_xlfn.XLOOKUP(D128,'Fleet Master'!$A$2:$A$9,'Fleet Master'!$D$2:$D$9)*H128</f>
        <v>471.84000000000003</v>
      </c>
      <c r="P128" t="str">
        <f t="shared" si="6"/>
        <v>Valid</v>
      </c>
      <c r="Q128" s="30">
        <f t="shared" si="7"/>
        <v>2.002467612584824</v>
      </c>
    </row>
    <row r="129" spans="1:17" x14ac:dyDescent="0.3">
      <c r="A129" t="s">
        <v>44</v>
      </c>
      <c r="B129" t="s">
        <v>29</v>
      </c>
      <c r="C129" t="s">
        <v>30</v>
      </c>
      <c r="D129" t="s">
        <v>26</v>
      </c>
      <c r="E129" t="s">
        <v>23</v>
      </c>
      <c r="F129" s="29">
        <v>7595</v>
      </c>
      <c r="G129" s="29">
        <v>6414</v>
      </c>
      <c r="H129" s="30">
        <v>6.28</v>
      </c>
      <c r="I129" s="30">
        <v>1.55</v>
      </c>
      <c r="J129" s="30">
        <v>4.7300000000000004</v>
      </c>
      <c r="K129" t="s">
        <v>44</v>
      </c>
      <c r="L129" t="s">
        <v>23</v>
      </c>
      <c r="M129" s="30" t="str">
        <f t="shared" si="4"/>
        <v>Valid</v>
      </c>
      <c r="N129" s="30">
        <f t="shared" si="5"/>
        <v>1021.3375796178343</v>
      </c>
      <c r="O129" s="29">
        <f>_xlfn.XLOOKUP(D129,'Fleet Master'!$A$2:$A$9,'Fleet Master'!$D$2:$D$9)*H129</f>
        <v>301.44</v>
      </c>
      <c r="P129" t="str">
        <f t="shared" si="6"/>
        <v>Valid</v>
      </c>
      <c r="Q129" s="30">
        <f t="shared" si="7"/>
        <v>1.1841284689741192</v>
      </c>
    </row>
    <row r="130" spans="1:17" x14ac:dyDescent="0.3">
      <c r="A130" t="s">
        <v>77</v>
      </c>
      <c r="B130" t="s">
        <v>20</v>
      </c>
      <c r="C130" t="s">
        <v>25</v>
      </c>
      <c r="D130" t="s">
        <v>22</v>
      </c>
      <c r="E130" t="s">
        <v>27</v>
      </c>
      <c r="F130" s="29">
        <v>5176</v>
      </c>
      <c r="G130" s="29">
        <v>1738</v>
      </c>
      <c r="H130" s="30">
        <v>4.4400000000000004</v>
      </c>
      <c r="I130" s="30">
        <v>1.3</v>
      </c>
      <c r="J130" s="30">
        <v>3.14</v>
      </c>
      <c r="K130" t="s">
        <v>77</v>
      </c>
      <c r="L130" t="s">
        <v>27</v>
      </c>
      <c r="M130" s="30" t="str">
        <f t="shared" si="4"/>
        <v>Valid</v>
      </c>
      <c r="N130" s="30">
        <f t="shared" si="5"/>
        <v>391.44144144144138</v>
      </c>
      <c r="O130" s="29">
        <f>_xlfn.XLOOKUP(D130,'Fleet Master'!$A$2:$A$9,'Fleet Master'!$D$2:$D$9)*H130</f>
        <v>333.00000000000006</v>
      </c>
      <c r="P130" t="str">
        <f t="shared" si="6"/>
        <v>Valid</v>
      </c>
      <c r="Q130" s="30">
        <f t="shared" si="7"/>
        <v>2.9781357882623705</v>
      </c>
    </row>
    <row r="131" spans="1:17" x14ac:dyDescent="0.3">
      <c r="A131" t="s">
        <v>98</v>
      </c>
      <c r="B131" t="s">
        <v>34</v>
      </c>
      <c r="C131" t="s">
        <v>30</v>
      </c>
      <c r="D131" t="s">
        <v>26</v>
      </c>
      <c r="E131" t="s">
        <v>32</v>
      </c>
      <c r="F131" s="29">
        <v>5957</v>
      </c>
      <c r="G131" s="29">
        <v>6422</v>
      </c>
      <c r="H131" s="30">
        <v>6.14</v>
      </c>
      <c r="I131" s="30">
        <v>0.99</v>
      </c>
      <c r="J131" s="30">
        <v>5.15</v>
      </c>
      <c r="K131" t="s">
        <v>98</v>
      </c>
      <c r="L131" t="s">
        <v>23</v>
      </c>
      <c r="M131" s="30" t="str">
        <f t="shared" ref="M131:M150" si="8">IF(ABS(H131-J131-I131) &lt;= 0.01,"Valid","Invalid")</f>
        <v>Valid</v>
      </c>
      <c r="N131" s="30">
        <f t="shared" ref="N131:N150" si="9">G131/H131</f>
        <v>1045.9283387622149</v>
      </c>
      <c r="O131" s="29">
        <f>_xlfn.XLOOKUP(D131,'Fleet Master'!$A$2:$A$9,'Fleet Master'!$D$2:$D$9)*H131</f>
        <v>294.71999999999997</v>
      </c>
      <c r="P131" t="str">
        <f t="shared" ref="P131:P150" si="10">IF(H131=I131+J131,"Valid","Invalid")</f>
        <v>Valid</v>
      </c>
      <c r="Q131" s="30">
        <f t="shared" ref="Q131:Q150" si="11">F131/G131</f>
        <v>0.92759265026471505</v>
      </c>
    </row>
    <row r="132" spans="1:17" x14ac:dyDescent="0.3">
      <c r="A132" t="s">
        <v>52</v>
      </c>
      <c r="B132" t="s">
        <v>34</v>
      </c>
      <c r="C132" t="s">
        <v>21</v>
      </c>
      <c r="D132" t="s">
        <v>22</v>
      </c>
      <c r="E132" t="s">
        <v>27</v>
      </c>
      <c r="F132" s="29">
        <v>717</v>
      </c>
      <c r="G132" s="29">
        <v>852</v>
      </c>
      <c r="H132" s="30">
        <v>8.98</v>
      </c>
      <c r="I132" s="30">
        <v>1.24</v>
      </c>
      <c r="J132" s="30">
        <v>7.74</v>
      </c>
      <c r="K132" t="s">
        <v>99</v>
      </c>
      <c r="L132" t="s">
        <v>27</v>
      </c>
      <c r="M132" s="30" t="str">
        <f t="shared" si="8"/>
        <v>Valid</v>
      </c>
      <c r="N132" s="30">
        <f t="shared" si="9"/>
        <v>94.877505567928722</v>
      </c>
      <c r="O132" s="29">
        <f>_xlfn.XLOOKUP(D132,'Fleet Master'!$A$2:$A$9,'Fleet Master'!$D$2:$D$9)*H132</f>
        <v>673.5</v>
      </c>
      <c r="P132" t="str">
        <f t="shared" si="10"/>
        <v>Valid</v>
      </c>
      <c r="Q132" s="30">
        <f t="shared" si="11"/>
        <v>0.84154929577464788</v>
      </c>
    </row>
    <row r="133" spans="1:17" x14ac:dyDescent="0.3">
      <c r="A133" t="s">
        <v>99</v>
      </c>
      <c r="B133" t="s">
        <v>34</v>
      </c>
      <c r="C133" t="s">
        <v>21</v>
      </c>
      <c r="D133" t="s">
        <v>22</v>
      </c>
      <c r="E133" t="s">
        <v>27</v>
      </c>
      <c r="F133" s="29">
        <v>6914</v>
      </c>
      <c r="G133" s="29">
        <v>1103</v>
      </c>
      <c r="H133" s="30">
        <v>4.28</v>
      </c>
      <c r="I133" s="30">
        <v>0.13</v>
      </c>
      <c r="J133" s="30">
        <v>4.1500000000000004</v>
      </c>
      <c r="K133" t="s">
        <v>99</v>
      </c>
      <c r="L133" t="s">
        <v>27</v>
      </c>
      <c r="M133" s="30" t="str">
        <f t="shared" si="8"/>
        <v>Valid</v>
      </c>
      <c r="N133" s="30">
        <f t="shared" si="9"/>
        <v>257.71028037383178</v>
      </c>
      <c r="O133" s="29">
        <f>_xlfn.XLOOKUP(D133,'Fleet Master'!$A$2:$A$9,'Fleet Master'!$D$2:$D$9)*H133</f>
        <v>321</v>
      </c>
      <c r="P133" t="str">
        <f t="shared" si="10"/>
        <v>Valid</v>
      </c>
      <c r="Q133" s="30">
        <f t="shared" si="11"/>
        <v>6.2683590208522215</v>
      </c>
    </row>
    <row r="134" spans="1:17" x14ac:dyDescent="0.3">
      <c r="A134" t="s">
        <v>48</v>
      </c>
      <c r="B134" t="s">
        <v>29</v>
      </c>
      <c r="C134" t="s">
        <v>21</v>
      </c>
      <c r="D134" t="s">
        <v>22</v>
      </c>
      <c r="E134" t="s">
        <v>23</v>
      </c>
      <c r="F134" s="29">
        <v>1519</v>
      </c>
      <c r="G134" s="29">
        <v>4303</v>
      </c>
      <c r="H134" s="30">
        <v>4.2699999999999996</v>
      </c>
      <c r="I134" s="30">
        <v>1.55</v>
      </c>
      <c r="J134" s="30">
        <v>2.72</v>
      </c>
      <c r="K134" t="s">
        <v>48</v>
      </c>
      <c r="L134" t="s">
        <v>23</v>
      </c>
      <c r="M134" s="30" t="str">
        <f t="shared" si="8"/>
        <v>Valid</v>
      </c>
      <c r="N134" s="30">
        <f t="shared" si="9"/>
        <v>1007.728337236534</v>
      </c>
      <c r="O134" s="29">
        <f>_xlfn.XLOOKUP(D134,'Fleet Master'!$A$2:$A$9,'Fleet Master'!$D$2:$D$9)*H134</f>
        <v>320.24999999999994</v>
      </c>
      <c r="P134" t="str">
        <f t="shared" si="10"/>
        <v>Valid</v>
      </c>
      <c r="Q134" s="30">
        <f t="shared" si="11"/>
        <v>0.35300952823611431</v>
      </c>
    </row>
    <row r="135" spans="1:17" x14ac:dyDescent="0.3">
      <c r="A135" t="s">
        <v>55</v>
      </c>
      <c r="B135" t="s">
        <v>34</v>
      </c>
      <c r="C135" t="s">
        <v>30</v>
      </c>
      <c r="D135" t="s">
        <v>22</v>
      </c>
      <c r="E135" t="s">
        <v>23</v>
      </c>
      <c r="F135" s="29">
        <v>2153</v>
      </c>
      <c r="G135" s="29">
        <v>3813</v>
      </c>
      <c r="H135" s="30">
        <v>7.1</v>
      </c>
      <c r="I135" s="30">
        <v>0.23</v>
      </c>
      <c r="J135" s="30">
        <v>6.87</v>
      </c>
      <c r="K135" t="s">
        <v>55</v>
      </c>
      <c r="L135" t="s">
        <v>23</v>
      </c>
      <c r="M135" s="30" t="str">
        <f t="shared" si="8"/>
        <v>Valid</v>
      </c>
      <c r="N135" s="30">
        <f t="shared" si="9"/>
        <v>537.04225352112678</v>
      </c>
      <c r="O135" s="29">
        <f>_xlfn.XLOOKUP(D135,'Fleet Master'!$A$2:$A$9,'Fleet Master'!$D$2:$D$9)*H135</f>
        <v>532.5</v>
      </c>
      <c r="P135" t="str">
        <f t="shared" si="10"/>
        <v>Valid</v>
      </c>
      <c r="Q135" s="30">
        <f t="shared" si="11"/>
        <v>0.56464725937581961</v>
      </c>
    </row>
    <row r="136" spans="1:17" x14ac:dyDescent="0.3">
      <c r="A136" t="s">
        <v>55</v>
      </c>
      <c r="B136" t="s">
        <v>29</v>
      </c>
      <c r="C136" t="s">
        <v>21</v>
      </c>
      <c r="D136" t="s">
        <v>31</v>
      </c>
      <c r="E136" t="s">
        <v>27</v>
      </c>
      <c r="F136" s="29">
        <v>2254</v>
      </c>
      <c r="G136" s="29">
        <v>4051</v>
      </c>
      <c r="H136" s="30">
        <v>4.03</v>
      </c>
      <c r="I136" s="30">
        <v>1.25</v>
      </c>
      <c r="J136" s="30">
        <v>2.78</v>
      </c>
      <c r="K136" t="s">
        <v>55</v>
      </c>
      <c r="L136" t="s">
        <v>27</v>
      </c>
      <c r="M136" s="30" t="str">
        <f t="shared" si="8"/>
        <v>Valid</v>
      </c>
      <c r="N136" s="30">
        <f t="shared" si="9"/>
        <v>1005.2109181141439</v>
      </c>
      <c r="O136" s="29">
        <f>_xlfn.XLOOKUP(D136,'Fleet Master'!$A$2:$A$9,'Fleet Master'!$D$2:$D$9)*H136</f>
        <v>181.35000000000002</v>
      </c>
      <c r="P136" t="str">
        <f t="shared" si="10"/>
        <v>Valid</v>
      </c>
      <c r="Q136" s="30">
        <f t="shared" si="11"/>
        <v>0.55640582572204389</v>
      </c>
    </row>
    <row r="137" spans="1:17" x14ac:dyDescent="0.3">
      <c r="A137" t="s">
        <v>55</v>
      </c>
      <c r="B137" t="s">
        <v>20</v>
      </c>
      <c r="C137" t="s">
        <v>25</v>
      </c>
      <c r="D137" t="s">
        <v>22</v>
      </c>
      <c r="E137" t="s">
        <v>23</v>
      </c>
      <c r="F137" s="29">
        <v>5965</v>
      </c>
      <c r="G137" s="29">
        <v>2763</v>
      </c>
      <c r="H137" s="30">
        <v>5.42</v>
      </c>
      <c r="I137" s="30">
        <v>0.97</v>
      </c>
      <c r="J137" s="30">
        <v>4.45</v>
      </c>
      <c r="K137" t="s">
        <v>55</v>
      </c>
      <c r="L137" t="s">
        <v>23</v>
      </c>
      <c r="M137" s="30" t="str">
        <f t="shared" si="8"/>
        <v>Valid</v>
      </c>
      <c r="N137" s="30">
        <f t="shared" si="9"/>
        <v>509.77859778597787</v>
      </c>
      <c r="O137" s="29">
        <f>_xlfn.XLOOKUP(D137,'Fleet Master'!$A$2:$A$9,'Fleet Master'!$D$2:$D$9)*H137</f>
        <v>406.5</v>
      </c>
      <c r="P137" t="str">
        <f t="shared" si="10"/>
        <v>Valid</v>
      </c>
      <c r="Q137" s="30">
        <f t="shared" si="11"/>
        <v>2.1588852696344554</v>
      </c>
    </row>
    <row r="138" spans="1:17" x14ac:dyDescent="0.3">
      <c r="A138" t="s">
        <v>91</v>
      </c>
      <c r="B138" t="s">
        <v>34</v>
      </c>
      <c r="C138" t="s">
        <v>30</v>
      </c>
      <c r="D138" t="s">
        <v>22</v>
      </c>
      <c r="E138" t="s">
        <v>27</v>
      </c>
      <c r="F138" s="29">
        <v>2184</v>
      </c>
      <c r="G138" s="29">
        <v>5949</v>
      </c>
      <c r="H138" s="30">
        <v>4.46</v>
      </c>
      <c r="I138" s="30">
        <v>0.72</v>
      </c>
      <c r="J138" s="30">
        <v>3.74</v>
      </c>
      <c r="K138" t="s">
        <v>91</v>
      </c>
      <c r="L138" t="s">
        <v>27</v>
      </c>
      <c r="M138" s="30" t="str">
        <f t="shared" si="8"/>
        <v>Valid</v>
      </c>
      <c r="N138" s="30">
        <f t="shared" si="9"/>
        <v>1333.8565022421524</v>
      </c>
      <c r="O138" s="29">
        <f>_xlfn.XLOOKUP(D138,'Fleet Master'!$A$2:$A$9,'Fleet Master'!$D$2:$D$9)*H138</f>
        <v>334.5</v>
      </c>
      <c r="P138" t="str">
        <f t="shared" si="10"/>
        <v>Valid</v>
      </c>
      <c r="Q138" s="30">
        <f t="shared" si="11"/>
        <v>0.36712052445789206</v>
      </c>
    </row>
    <row r="139" spans="1:17" x14ac:dyDescent="0.3">
      <c r="A139" t="s">
        <v>91</v>
      </c>
      <c r="B139" t="s">
        <v>20</v>
      </c>
      <c r="C139" t="s">
        <v>30</v>
      </c>
      <c r="D139" t="s">
        <v>31</v>
      </c>
      <c r="E139" t="s">
        <v>23</v>
      </c>
      <c r="F139" s="29">
        <v>7218</v>
      </c>
      <c r="G139" s="29">
        <v>2694</v>
      </c>
      <c r="H139" s="30">
        <v>6.13</v>
      </c>
      <c r="I139" s="30">
        <v>1.37</v>
      </c>
      <c r="J139" s="30">
        <v>4.76</v>
      </c>
      <c r="K139" t="s">
        <v>91</v>
      </c>
      <c r="L139" t="s">
        <v>23</v>
      </c>
      <c r="M139" s="30" t="str">
        <f t="shared" si="8"/>
        <v>Valid</v>
      </c>
      <c r="N139" s="30">
        <f t="shared" si="9"/>
        <v>439.4779771615008</v>
      </c>
      <c r="O139" s="29">
        <f>_xlfn.XLOOKUP(D139,'Fleet Master'!$A$2:$A$9,'Fleet Master'!$D$2:$D$9)*H139</f>
        <v>275.85000000000002</v>
      </c>
      <c r="P139" t="str">
        <f t="shared" si="10"/>
        <v>Valid</v>
      </c>
      <c r="Q139" s="30">
        <f t="shared" si="11"/>
        <v>2.6792873051224944</v>
      </c>
    </row>
    <row r="140" spans="1:17" x14ac:dyDescent="0.3">
      <c r="A140" t="s">
        <v>91</v>
      </c>
      <c r="B140" t="s">
        <v>20</v>
      </c>
      <c r="C140" t="s">
        <v>25</v>
      </c>
      <c r="D140" t="s">
        <v>26</v>
      </c>
      <c r="E140" t="s">
        <v>23</v>
      </c>
      <c r="F140" s="29">
        <v>4331</v>
      </c>
      <c r="G140" s="29">
        <v>5542</v>
      </c>
      <c r="H140" s="30">
        <v>5.32</v>
      </c>
      <c r="I140" s="30">
        <v>0.56000000000000005</v>
      </c>
      <c r="J140" s="30">
        <v>4.76</v>
      </c>
      <c r="K140" t="s">
        <v>91</v>
      </c>
      <c r="L140" t="s">
        <v>23</v>
      </c>
      <c r="M140" s="30" t="str">
        <f t="shared" si="8"/>
        <v>Valid</v>
      </c>
      <c r="N140" s="30">
        <f t="shared" si="9"/>
        <v>1041.7293233082705</v>
      </c>
      <c r="O140" s="29">
        <f>_xlfn.XLOOKUP(D140,'Fleet Master'!$A$2:$A$9,'Fleet Master'!$D$2:$D$9)*H140</f>
        <v>255.36</v>
      </c>
      <c r="P140" t="str">
        <f t="shared" si="10"/>
        <v>Valid</v>
      </c>
      <c r="Q140" s="30">
        <f t="shared" si="11"/>
        <v>0.78148682785997836</v>
      </c>
    </row>
    <row r="141" spans="1:17" x14ac:dyDescent="0.3">
      <c r="A141" t="s">
        <v>69</v>
      </c>
      <c r="B141" t="s">
        <v>29</v>
      </c>
      <c r="C141" t="s">
        <v>30</v>
      </c>
      <c r="D141" t="s">
        <v>22</v>
      </c>
      <c r="E141" t="s">
        <v>27</v>
      </c>
      <c r="F141" s="29">
        <v>8445</v>
      </c>
      <c r="G141" s="29">
        <v>1911</v>
      </c>
      <c r="H141" s="30">
        <v>8.48</v>
      </c>
      <c r="I141" s="30">
        <v>0.5</v>
      </c>
      <c r="J141" s="30">
        <v>7.98</v>
      </c>
      <c r="K141" t="s">
        <v>69</v>
      </c>
      <c r="L141" t="s">
        <v>27</v>
      </c>
      <c r="M141" s="30" t="str">
        <f t="shared" si="8"/>
        <v>Valid</v>
      </c>
      <c r="N141" s="30">
        <f t="shared" si="9"/>
        <v>225.35377358490564</v>
      </c>
      <c r="O141" s="29">
        <f>_xlfn.XLOOKUP(D141,'Fleet Master'!$A$2:$A$9,'Fleet Master'!$D$2:$D$9)*H141</f>
        <v>636</v>
      </c>
      <c r="P141" t="str">
        <f t="shared" si="10"/>
        <v>Valid</v>
      </c>
      <c r="Q141" s="30">
        <f t="shared" si="11"/>
        <v>4.4191522762951339</v>
      </c>
    </row>
    <row r="142" spans="1:17" x14ac:dyDescent="0.3">
      <c r="A142" t="s">
        <v>69</v>
      </c>
      <c r="B142" t="s">
        <v>34</v>
      </c>
      <c r="C142" t="s">
        <v>21</v>
      </c>
      <c r="D142" t="s">
        <v>26</v>
      </c>
      <c r="E142" t="s">
        <v>27</v>
      </c>
      <c r="F142" s="29">
        <v>5428</v>
      </c>
      <c r="G142" s="29">
        <v>2019</v>
      </c>
      <c r="H142" s="30">
        <v>4.01</v>
      </c>
      <c r="I142" s="30">
        <v>0.55000000000000004</v>
      </c>
      <c r="J142" s="30">
        <v>3.46</v>
      </c>
      <c r="K142" t="s">
        <v>69</v>
      </c>
      <c r="L142" t="s">
        <v>27</v>
      </c>
      <c r="M142" s="30" t="str">
        <f t="shared" si="8"/>
        <v>Valid</v>
      </c>
      <c r="N142" s="30">
        <f t="shared" si="9"/>
        <v>503.4912718204489</v>
      </c>
      <c r="O142" s="29">
        <f>_xlfn.XLOOKUP(D142,'Fleet Master'!$A$2:$A$9,'Fleet Master'!$D$2:$D$9)*H142</f>
        <v>192.48</v>
      </c>
      <c r="P142" t="str">
        <f t="shared" si="10"/>
        <v>Valid</v>
      </c>
      <c r="Q142" s="30">
        <f t="shared" si="11"/>
        <v>2.688459633481922</v>
      </c>
    </row>
    <row r="143" spans="1:17" x14ac:dyDescent="0.3">
      <c r="A143" t="s">
        <v>69</v>
      </c>
      <c r="B143" t="s">
        <v>34</v>
      </c>
      <c r="C143" t="s">
        <v>25</v>
      </c>
      <c r="D143" t="s">
        <v>31</v>
      </c>
      <c r="E143" t="s">
        <v>27</v>
      </c>
      <c r="F143" s="29">
        <v>8662</v>
      </c>
      <c r="G143" s="29">
        <v>3819</v>
      </c>
      <c r="H143" s="30">
        <v>8.57</v>
      </c>
      <c r="I143" s="30">
        <v>1.56</v>
      </c>
      <c r="J143" s="30">
        <v>7.01</v>
      </c>
      <c r="K143" t="s">
        <v>69</v>
      </c>
      <c r="L143" t="s">
        <v>27</v>
      </c>
      <c r="M143" s="30" t="str">
        <f t="shared" si="8"/>
        <v>Valid</v>
      </c>
      <c r="N143" s="30">
        <f t="shared" si="9"/>
        <v>445.6242707117853</v>
      </c>
      <c r="O143" s="29">
        <f>_xlfn.XLOOKUP(D143,'Fleet Master'!$A$2:$A$9,'Fleet Master'!$D$2:$D$9)*H143</f>
        <v>385.65000000000003</v>
      </c>
      <c r="P143" t="str">
        <f t="shared" si="10"/>
        <v>Valid</v>
      </c>
      <c r="Q143" s="30">
        <f t="shared" si="11"/>
        <v>2.2681330191149516</v>
      </c>
    </row>
    <row r="144" spans="1:17" x14ac:dyDescent="0.3">
      <c r="A144" t="s">
        <v>69</v>
      </c>
      <c r="B144" t="s">
        <v>34</v>
      </c>
      <c r="C144" t="s">
        <v>25</v>
      </c>
      <c r="D144" t="s">
        <v>26</v>
      </c>
      <c r="E144" t="s">
        <v>27</v>
      </c>
      <c r="F144" s="29">
        <v>8967</v>
      </c>
      <c r="G144" s="29">
        <v>6387</v>
      </c>
      <c r="H144" s="30">
        <v>9.07</v>
      </c>
      <c r="I144" s="30">
        <v>0.27</v>
      </c>
      <c r="J144" s="30">
        <v>8.8000000000000007</v>
      </c>
      <c r="K144" t="s">
        <v>69</v>
      </c>
      <c r="L144" t="s">
        <v>27</v>
      </c>
      <c r="M144" s="30" t="str">
        <f t="shared" si="8"/>
        <v>Valid</v>
      </c>
      <c r="N144" s="30">
        <f t="shared" si="9"/>
        <v>704.18963616317524</v>
      </c>
      <c r="O144" s="29">
        <f>_xlfn.XLOOKUP(D144,'Fleet Master'!$A$2:$A$9,'Fleet Master'!$D$2:$D$9)*H144</f>
        <v>435.36</v>
      </c>
      <c r="P144" t="str">
        <f t="shared" si="10"/>
        <v>Valid</v>
      </c>
      <c r="Q144" s="30">
        <f t="shared" si="11"/>
        <v>1.4039455143259747</v>
      </c>
    </row>
    <row r="145" spans="1:17" x14ac:dyDescent="0.3">
      <c r="A145" t="s">
        <v>43</v>
      </c>
      <c r="B145" t="s">
        <v>34</v>
      </c>
      <c r="C145" t="s">
        <v>30</v>
      </c>
      <c r="D145" t="s">
        <v>26</v>
      </c>
      <c r="E145" t="s">
        <v>27</v>
      </c>
      <c r="F145" s="29">
        <v>8012</v>
      </c>
      <c r="G145" s="29">
        <v>4446</v>
      </c>
      <c r="H145" s="30">
        <v>5.23</v>
      </c>
      <c r="I145" s="30">
        <v>1.77</v>
      </c>
      <c r="J145" s="30">
        <v>3.46</v>
      </c>
      <c r="K145" t="s">
        <v>43</v>
      </c>
      <c r="L145" t="s">
        <v>27</v>
      </c>
      <c r="M145" s="30" t="str">
        <f t="shared" si="8"/>
        <v>Valid</v>
      </c>
      <c r="N145" s="30">
        <f t="shared" si="9"/>
        <v>850.09560229445503</v>
      </c>
      <c r="O145" s="29">
        <f>_xlfn.XLOOKUP(D145,'Fleet Master'!$A$2:$A$9,'Fleet Master'!$D$2:$D$9)*H145</f>
        <v>251.04000000000002</v>
      </c>
      <c r="P145" t="str">
        <f t="shared" si="10"/>
        <v>Valid</v>
      </c>
      <c r="Q145" s="30">
        <f t="shared" si="11"/>
        <v>1.8020692757534862</v>
      </c>
    </row>
    <row r="146" spans="1:17" x14ac:dyDescent="0.3">
      <c r="A146" t="s">
        <v>89</v>
      </c>
      <c r="B146" t="s">
        <v>29</v>
      </c>
      <c r="C146" t="s">
        <v>21</v>
      </c>
      <c r="D146" t="s">
        <v>26</v>
      </c>
      <c r="E146" t="s">
        <v>23</v>
      </c>
      <c r="F146" s="29">
        <v>6156</v>
      </c>
      <c r="G146" s="29">
        <v>621</v>
      </c>
      <c r="H146" s="30">
        <v>9.0399999999999991</v>
      </c>
      <c r="I146" s="30">
        <v>0.55000000000000004</v>
      </c>
      <c r="J146" s="30">
        <v>8.49</v>
      </c>
      <c r="K146" t="s">
        <v>89</v>
      </c>
      <c r="L146" t="s">
        <v>23</v>
      </c>
      <c r="M146" s="30" t="str">
        <f t="shared" si="8"/>
        <v>Valid</v>
      </c>
      <c r="N146" s="30">
        <f t="shared" si="9"/>
        <v>68.694690265486727</v>
      </c>
      <c r="O146" s="29">
        <f>_xlfn.XLOOKUP(D146,'Fleet Master'!$A$2:$A$9,'Fleet Master'!$D$2:$D$9)*H146</f>
        <v>433.91999999999996</v>
      </c>
      <c r="P146" t="str">
        <f t="shared" si="10"/>
        <v>Valid</v>
      </c>
      <c r="Q146" s="30">
        <f t="shared" si="11"/>
        <v>9.9130434782608692</v>
      </c>
    </row>
    <row r="147" spans="1:17" x14ac:dyDescent="0.3">
      <c r="A147" t="s">
        <v>63</v>
      </c>
      <c r="B147" t="s">
        <v>20</v>
      </c>
      <c r="C147" t="s">
        <v>25</v>
      </c>
      <c r="D147" t="s">
        <v>26</v>
      </c>
      <c r="E147" t="s">
        <v>27</v>
      </c>
      <c r="F147" s="29">
        <v>1466</v>
      </c>
      <c r="G147" s="29">
        <v>901</v>
      </c>
      <c r="H147" s="30">
        <v>9.8800000000000008</v>
      </c>
      <c r="I147" s="30">
        <v>1.45</v>
      </c>
      <c r="J147" s="30">
        <v>8.43</v>
      </c>
      <c r="K147" t="s">
        <v>63</v>
      </c>
      <c r="L147" t="s">
        <v>27</v>
      </c>
      <c r="M147" s="30" t="str">
        <f t="shared" si="8"/>
        <v>Valid</v>
      </c>
      <c r="N147" s="30">
        <f t="shared" si="9"/>
        <v>91.194331983805654</v>
      </c>
      <c r="O147" s="29">
        <f>_xlfn.XLOOKUP(D147,'Fleet Master'!$A$2:$A$9,'Fleet Master'!$D$2:$D$9)*H147</f>
        <v>474.24</v>
      </c>
      <c r="P147" t="str">
        <f t="shared" si="10"/>
        <v>Valid</v>
      </c>
      <c r="Q147" s="30">
        <f t="shared" si="11"/>
        <v>1.6270810210876803</v>
      </c>
    </row>
    <row r="148" spans="1:17" x14ac:dyDescent="0.3">
      <c r="A148" t="s">
        <v>63</v>
      </c>
      <c r="B148" t="s">
        <v>20</v>
      </c>
      <c r="C148" t="s">
        <v>30</v>
      </c>
      <c r="D148" t="s">
        <v>22</v>
      </c>
      <c r="E148" t="s">
        <v>27</v>
      </c>
      <c r="F148" s="29">
        <v>615</v>
      </c>
      <c r="G148" s="29">
        <v>2232</v>
      </c>
      <c r="H148" s="30">
        <v>7.74</v>
      </c>
      <c r="I148" s="30">
        <v>1.17</v>
      </c>
      <c r="J148" s="30">
        <v>6.57</v>
      </c>
      <c r="K148" t="s">
        <v>63</v>
      </c>
      <c r="L148" t="s">
        <v>27</v>
      </c>
      <c r="M148" s="30" t="str">
        <f t="shared" si="8"/>
        <v>Valid</v>
      </c>
      <c r="N148" s="30">
        <f t="shared" si="9"/>
        <v>288.37209302325579</v>
      </c>
      <c r="O148" s="29">
        <f>_xlfn.XLOOKUP(D148,'Fleet Master'!$A$2:$A$9,'Fleet Master'!$D$2:$D$9)*H148</f>
        <v>580.5</v>
      </c>
      <c r="P148" t="str">
        <f t="shared" si="10"/>
        <v>Valid</v>
      </c>
      <c r="Q148" s="30">
        <f t="shared" si="11"/>
        <v>0.27553763440860213</v>
      </c>
    </row>
    <row r="149" spans="1:17" x14ac:dyDescent="0.3">
      <c r="A149" t="s">
        <v>75</v>
      </c>
      <c r="B149" t="s">
        <v>29</v>
      </c>
      <c r="C149" t="s">
        <v>30</v>
      </c>
      <c r="D149" t="s">
        <v>26</v>
      </c>
      <c r="E149" t="s">
        <v>23</v>
      </c>
      <c r="F149" s="29">
        <v>1535</v>
      </c>
      <c r="G149" s="29">
        <v>1926</v>
      </c>
      <c r="H149" s="30">
        <v>6.81</v>
      </c>
      <c r="I149" s="30">
        <v>0.06</v>
      </c>
      <c r="J149" s="30">
        <v>6.75</v>
      </c>
      <c r="K149" t="s">
        <v>75</v>
      </c>
      <c r="L149" t="s">
        <v>23</v>
      </c>
      <c r="M149" s="30" t="str">
        <f t="shared" si="8"/>
        <v>Valid</v>
      </c>
      <c r="N149" s="30">
        <f t="shared" si="9"/>
        <v>282.81938325991189</v>
      </c>
      <c r="O149" s="29">
        <f>_xlfn.XLOOKUP(D149,'Fleet Master'!$A$2:$A$9,'Fleet Master'!$D$2:$D$9)*H149</f>
        <v>326.88</v>
      </c>
      <c r="P149" t="str">
        <f t="shared" si="10"/>
        <v>Valid</v>
      </c>
      <c r="Q149" s="30">
        <f t="shared" si="11"/>
        <v>0.79698857736240913</v>
      </c>
    </row>
    <row r="150" spans="1:17" x14ac:dyDescent="0.3">
      <c r="A150" t="s">
        <v>75</v>
      </c>
      <c r="B150" t="s">
        <v>20</v>
      </c>
      <c r="C150" t="s">
        <v>21</v>
      </c>
      <c r="D150" t="s">
        <v>26</v>
      </c>
      <c r="E150" t="s">
        <v>27</v>
      </c>
      <c r="F150" s="29">
        <v>5765</v>
      </c>
      <c r="G150" s="29">
        <v>211</v>
      </c>
      <c r="H150" s="30">
        <v>8.08</v>
      </c>
      <c r="I150" s="30">
        <v>1.56</v>
      </c>
      <c r="J150" s="30">
        <v>6.52</v>
      </c>
      <c r="K150" t="s">
        <v>75</v>
      </c>
      <c r="L150" t="s">
        <v>27</v>
      </c>
      <c r="M150" s="30" t="str">
        <f t="shared" si="8"/>
        <v>Valid</v>
      </c>
      <c r="N150" s="30">
        <f t="shared" si="9"/>
        <v>26.113861386138613</v>
      </c>
      <c r="O150" s="29">
        <f>_xlfn.XLOOKUP(D150,'Fleet Master'!$A$2:$A$9,'Fleet Master'!$D$2:$D$9)*H150</f>
        <v>387.84000000000003</v>
      </c>
      <c r="P150" t="str">
        <f t="shared" si="10"/>
        <v>Valid</v>
      </c>
      <c r="Q150" s="30">
        <f t="shared" si="11"/>
        <v>27.322274881516588</v>
      </c>
    </row>
    <row r="152" spans="1:17" x14ac:dyDescent="0.3">
      <c r="Q152" s="30"/>
    </row>
    <row r="153" spans="1:17" x14ac:dyDescent="0.3">
      <c r="Q153" s="30"/>
    </row>
    <row r="154" spans="1:17" x14ac:dyDescent="0.3">
      <c r="Q154" s="30"/>
    </row>
    <row r="155" spans="1:17" x14ac:dyDescent="0.3">
      <c r="Q155" s="30"/>
    </row>
    <row r="156" spans="1:17" x14ac:dyDescent="0.3">
      <c r="Q156" s="30"/>
    </row>
    <row r="157" spans="1:17" x14ac:dyDescent="0.3">
      <c r="Q157" s="30"/>
    </row>
    <row r="158" spans="1:17" x14ac:dyDescent="0.3">
      <c r="Q158" s="30"/>
    </row>
    <row r="159" spans="1:17" x14ac:dyDescent="0.3">
      <c r="Q159" s="30"/>
    </row>
    <row r="160" spans="1:17" x14ac:dyDescent="0.3">
      <c r="Q160" s="30"/>
    </row>
    <row r="161" spans="17:17" x14ac:dyDescent="0.3">
      <c r="Q161" s="30"/>
    </row>
    <row r="162" spans="17:17" x14ac:dyDescent="0.3">
      <c r="Q162" s="30"/>
    </row>
    <row r="163" spans="17:17" x14ac:dyDescent="0.3">
      <c r="Q163" s="30"/>
    </row>
    <row r="164" spans="17:17" x14ac:dyDescent="0.3">
      <c r="Q164" s="30"/>
    </row>
    <row r="165" spans="17:17" x14ac:dyDescent="0.3">
      <c r="Q165" s="30"/>
    </row>
    <row r="166" spans="17:17" x14ac:dyDescent="0.3">
      <c r="Q166" s="30"/>
    </row>
    <row r="167" spans="17:17" x14ac:dyDescent="0.3">
      <c r="Q167" s="30"/>
    </row>
    <row r="168" spans="17:17" x14ac:dyDescent="0.3">
      <c r="Q168" s="30"/>
    </row>
    <row r="169" spans="17:17" x14ac:dyDescent="0.3">
      <c r="Q169" s="30"/>
    </row>
    <row r="170" spans="17:17" x14ac:dyDescent="0.3">
      <c r="Q170" s="30"/>
    </row>
    <row r="171" spans="17:17" x14ac:dyDescent="0.3">
      <c r="Q171" s="30"/>
    </row>
    <row r="172" spans="17:17" x14ac:dyDescent="0.3">
      <c r="Q172" s="30"/>
    </row>
    <row r="173" spans="17:17" x14ac:dyDescent="0.3">
      <c r="Q173" s="30"/>
    </row>
    <row r="174" spans="17:17" x14ac:dyDescent="0.3">
      <c r="Q174" s="30"/>
    </row>
    <row r="175" spans="17:17" x14ac:dyDescent="0.3">
      <c r="Q175" s="30"/>
    </row>
    <row r="176" spans="17:17" x14ac:dyDescent="0.3">
      <c r="Q176" s="30"/>
    </row>
    <row r="177" spans="17:17" x14ac:dyDescent="0.3">
      <c r="Q177" s="30"/>
    </row>
    <row r="178" spans="17:17" x14ac:dyDescent="0.3">
      <c r="Q178" s="30"/>
    </row>
    <row r="179" spans="17:17" x14ac:dyDescent="0.3">
      <c r="Q179" s="30"/>
    </row>
    <row r="180" spans="17:17" x14ac:dyDescent="0.3">
      <c r="Q180" s="30"/>
    </row>
    <row r="181" spans="17:17" x14ac:dyDescent="0.3">
      <c r="Q181" s="30"/>
    </row>
    <row r="182" spans="17:17" x14ac:dyDescent="0.3">
      <c r="Q182" s="30"/>
    </row>
    <row r="183" spans="17:17" x14ac:dyDescent="0.3">
      <c r="Q183" s="30"/>
    </row>
    <row r="184" spans="17:17" x14ac:dyDescent="0.3">
      <c r="Q184" s="30"/>
    </row>
    <row r="185" spans="17:17" x14ac:dyDescent="0.3">
      <c r="Q185" s="30"/>
    </row>
    <row r="186" spans="17:17" x14ac:dyDescent="0.3">
      <c r="Q186" s="30"/>
    </row>
    <row r="187" spans="17:17" x14ac:dyDescent="0.3">
      <c r="Q187" s="30"/>
    </row>
    <row r="188" spans="17:17" x14ac:dyDescent="0.3">
      <c r="Q188" s="30"/>
    </row>
    <row r="189" spans="17:17" x14ac:dyDescent="0.3">
      <c r="Q189" s="30"/>
    </row>
    <row r="190" spans="17:17" x14ac:dyDescent="0.3">
      <c r="Q190" s="30"/>
    </row>
    <row r="191" spans="17:17" x14ac:dyDescent="0.3">
      <c r="Q191" s="30"/>
    </row>
    <row r="192" spans="17:17" x14ac:dyDescent="0.3">
      <c r="Q192" s="30"/>
    </row>
    <row r="193" spans="17:17" x14ac:dyDescent="0.3">
      <c r="Q193" s="30"/>
    </row>
    <row r="194" spans="17:17" x14ac:dyDescent="0.3">
      <c r="Q194" s="30"/>
    </row>
    <row r="195" spans="17:17" x14ac:dyDescent="0.3">
      <c r="Q195" s="30"/>
    </row>
    <row r="196" spans="17:17" x14ac:dyDescent="0.3">
      <c r="Q196" s="30"/>
    </row>
    <row r="197" spans="17:17" x14ac:dyDescent="0.3">
      <c r="Q197" s="30"/>
    </row>
    <row r="198" spans="17:17" x14ac:dyDescent="0.3">
      <c r="Q198" s="30"/>
    </row>
    <row r="199" spans="17:17" x14ac:dyDescent="0.3">
      <c r="Q199" s="30"/>
    </row>
    <row r="200" spans="17:17" x14ac:dyDescent="0.3">
      <c r="Q200" s="30"/>
    </row>
    <row r="201" spans="17:17" x14ac:dyDescent="0.3">
      <c r="Q201" s="30"/>
    </row>
    <row r="202" spans="17:17" x14ac:dyDescent="0.3">
      <c r="Q202" s="30"/>
    </row>
    <row r="203" spans="17:17" x14ac:dyDescent="0.3">
      <c r="Q203" s="30"/>
    </row>
    <row r="204" spans="17:17" x14ac:dyDescent="0.3">
      <c r="Q204" s="30"/>
    </row>
    <row r="205" spans="17:17" x14ac:dyDescent="0.3">
      <c r="Q205" s="30"/>
    </row>
    <row r="206" spans="17:17" x14ac:dyDescent="0.3">
      <c r="Q206" s="30"/>
    </row>
    <row r="207" spans="17:17" x14ac:dyDescent="0.3">
      <c r="Q207" s="30"/>
    </row>
    <row r="208" spans="17:17" x14ac:dyDescent="0.3">
      <c r="Q208" s="30"/>
    </row>
    <row r="209" spans="17:17" x14ac:dyDescent="0.3">
      <c r="Q209" s="30"/>
    </row>
    <row r="210" spans="17:17" x14ac:dyDescent="0.3">
      <c r="Q210" s="30"/>
    </row>
    <row r="211" spans="17:17" x14ac:dyDescent="0.3">
      <c r="Q211" s="30"/>
    </row>
    <row r="212" spans="17:17" x14ac:dyDescent="0.3">
      <c r="Q212" s="30"/>
    </row>
    <row r="213" spans="17:17" x14ac:dyDescent="0.3">
      <c r="Q213" s="30"/>
    </row>
    <row r="214" spans="17:17" x14ac:dyDescent="0.3">
      <c r="Q214" s="30"/>
    </row>
    <row r="215" spans="17:17" x14ac:dyDescent="0.3">
      <c r="Q215" s="30"/>
    </row>
    <row r="216" spans="17:17" x14ac:dyDescent="0.3">
      <c r="Q216" s="30"/>
    </row>
    <row r="217" spans="17:17" x14ac:dyDescent="0.3">
      <c r="Q217" s="30"/>
    </row>
    <row r="218" spans="17:17" x14ac:dyDescent="0.3">
      <c r="Q218" s="30"/>
    </row>
    <row r="219" spans="17:17" x14ac:dyDescent="0.3">
      <c r="Q219" s="30"/>
    </row>
    <row r="220" spans="17:17" x14ac:dyDescent="0.3">
      <c r="Q220" s="30"/>
    </row>
    <row r="221" spans="17:17" x14ac:dyDescent="0.3">
      <c r="Q221" s="30"/>
    </row>
    <row r="222" spans="17:17" x14ac:dyDescent="0.3">
      <c r="Q222" s="30"/>
    </row>
    <row r="223" spans="17:17" x14ac:dyDescent="0.3">
      <c r="Q223" s="30"/>
    </row>
    <row r="224" spans="17:17" x14ac:dyDescent="0.3">
      <c r="Q224" s="30"/>
    </row>
    <row r="225" spans="17:17" x14ac:dyDescent="0.3">
      <c r="Q225" s="30"/>
    </row>
    <row r="226" spans="17:17" x14ac:dyDescent="0.3">
      <c r="Q226" s="30"/>
    </row>
    <row r="227" spans="17:17" x14ac:dyDescent="0.3">
      <c r="Q227" s="30"/>
    </row>
    <row r="228" spans="17:17" x14ac:dyDescent="0.3">
      <c r="Q228" s="30"/>
    </row>
    <row r="229" spans="17:17" x14ac:dyDescent="0.3">
      <c r="Q229" s="30"/>
    </row>
    <row r="230" spans="17:17" x14ac:dyDescent="0.3">
      <c r="Q230" s="30"/>
    </row>
    <row r="231" spans="17:17" x14ac:dyDescent="0.3">
      <c r="Q231" s="30"/>
    </row>
    <row r="232" spans="17:17" x14ac:dyDescent="0.3">
      <c r="Q232" s="30"/>
    </row>
    <row r="233" spans="17:17" x14ac:dyDescent="0.3">
      <c r="Q233" s="30"/>
    </row>
    <row r="234" spans="17:17" x14ac:dyDescent="0.3">
      <c r="Q234" s="30"/>
    </row>
    <row r="235" spans="17:17" x14ac:dyDescent="0.3">
      <c r="Q235" s="30"/>
    </row>
    <row r="236" spans="17:17" x14ac:dyDescent="0.3">
      <c r="Q236" s="30"/>
    </row>
    <row r="237" spans="17:17" x14ac:dyDescent="0.3">
      <c r="Q237" s="30"/>
    </row>
    <row r="238" spans="17:17" x14ac:dyDescent="0.3">
      <c r="Q238" s="30"/>
    </row>
    <row r="239" spans="17:17" x14ac:dyDescent="0.3">
      <c r="Q239" s="30"/>
    </row>
    <row r="240" spans="17:17" x14ac:dyDescent="0.3">
      <c r="Q240" s="30"/>
    </row>
    <row r="241" spans="17:17" x14ac:dyDescent="0.3">
      <c r="Q241" s="30"/>
    </row>
    <row r="242" spans="17:17" x14ac:dyDescent="0.3">
      <c r="Q242" s="30"/>
    </row>
    <row r="243" spans="17:17" x14ac:dyDescent="0.3">
      <c r="Q243" s="30"/>
    </row>
    <row r="244" spans="17:17" x14ac:dyDescent="0.3">
      <c r="Q244" s="30"/>
    </row>
    <row r="245" spans="17:17" x14ac:dyDescent="0.3">
      <c r="Q245" s="30"/>
    </row>
    <row r="246" spans="17:17" x14ac:dyDescent="0.3">
      <c r="Q246" s="30"/>
    </row>
    <row r="247" spans="17:17" x14ac:dyDescent="0.3">
      <c r="Q247" s="30"/>
    </row>
    <row r="248" spans="17:17" x14ac:dyDescent="0.3">
      <c r="Q248" s="30"/>
    </row>
    <row r="249" spans="17:17" x14ac:dyDescent="0.3">
      <c r="Q249" s="30"/>
    </row>
    <row r="250" spans="17:17" x14ac:dyDescent="0.3">
      <c r="Q250" s="30"/>
    </row>
    <row r="251" spans="17:17" x14ac:dyDescent="0.3">
      <c r="Q251" s="30"/>
    </row>
    <row r="252" spans="17:17" x14ac:dyDescent="0.3">
      <c r="Q252" s="30"/>
    </row>
    <row r="253" spans="17:17" x14ac:dyDescent="0.3">
      <c r="Q253" s="30"/>
    </row>
    <row r="254" spans="17:17" x14ac:dyDescent="0.3">
      <c r="Q254" s="30"/>
    </row>
    <row r="255" spans="17:17" x14ac:dyDescent="0.3">
      <c r="Q255" s="30"/>
    </row>
    <row r="256" spans="17:17" x14ac:dyDescent="0.3">
      <c r="Q256" s="30"/>
    </row>
    <row r="257" spans="17:17" x14ac:dyDescent="0.3">
      <c r="Q257" s="30"/>
    </row>
    <row r="258" spans="17:17" x14ac:dyDescent="0.3">
      <c r="Q258" s="30"/>
    </row>
    <row r="259" spans="17:17" x14ac:dyDescent="0.3">
      <c r="Q259" s="30"/>
    </row>
    <row r="260" spans="17:17" x14ac:dyDescent="0.3">
      <c r="Q260" s="30"/>
    </row>
    <row r="261" spans="17:17" x14ac:dyDescent="0.3">
      <c r="Q261" s="30"/>
    </row>
    <row r="262" spans="17:17" x14ac:dyDescent="0.3">
      <c r="Q262" s="30"/>
    </row>
    <row r="263" spans="17:17" x14ac:dyDescent="0.3">
      <c r="Q263" s="30"/>
    </row>
    <row r="264" spans="17:17" x14ac:dyDescent="0.3">
      <c r="Q264" s="30"/>
    </row>
    <row r="265" spans="17:17" x14ac:dyDescent="0.3">
      <c r="Q265" s="30"/>
    </row>
    <row r="266" spans="17:17" x14ac:dyDescent="0.3">
      <c r="Q266" s="30"/>
    </row>
    <row r="267" spans="17:17" x14ac:dyDescent="0.3">
      <c r="Q267" s="30"/>
    </row>
    <row r="268" spans="17:17" x14ac:dyDescent="0.3">
      <c r="Q268" s="30"/>
    </row>
    <row r="269" spans="17:17" x14ac:dyDescent="0.3">
      <c r="Q269" s="30"/>
    </row>
    <row r="270" spans="17:17" x14ac:dyDescent="0.3">
      <c r="Q270" s="30"/>
    </row>
    <row r="271" spans="17:17" x14ac:dyDescent="0.3">
      <c r="Q271" s="30"/>
    </row>
    <row r="272" spans="17:17" x14ac:dyDescent="0.3">
      <c r="Q272" s="30"/>
    </row>
    <row r="273" spans="7:17" x14ac:dyDescent="0.3">
      <c r="Q273" s="30"/>
    </row>
    <row r="274" spans="7:17" x14ac:dyDescent="0.3">
      <c r="Q274" s="30"/>
    </row>
    <row r="275" spans="7:17" x14ac:dyDescent="0.3">
      <c r="Q275" s="30"/>
    </row>
    <row r="276" spans="7:17" x14ac:dyDescent="0.3">
      <c r="Q276" s="30"/>
    </row>
    <row r="277" spans="7:17" x14ac:dyDescent="0.3">
      <c r="Q277" s="30"/>
    </row>
    <row r="278" spans="7:17" x14ac:dyDescent="0.3">
      <c r="Q278" s="30"/>
    </row>
    <row r="279" spans="7:17" x14ac:dyDescent="0.3">
      <c r="Q279" s="30"/>
    </row>
    <row r="280" spans="7:17" x14ac:dyDescent="0.3">
      <c r="Q280" s="30"/>
    </row>
    <row r="281" spans="7:17" x14ac:dyDescent="0.3">
      <c r="Q281" s="30"/>
    </row>
    <row r="282" spans="7:17" x14ac:dyDescent="0.3">
      <c r="Q282" s="30"/>
    </row>
    <row r="283" spans="7:17" x14ac:dyDescent="0.3">
      <c r="Q283" s="30"/>
    </row>
    <row r="284" spans="7:17" x14ac:dyDescent="0.3">
      <c r="Q284" s="30"/>
    </row>
    <row r="285" spans="7:17" x14ac:dyDescent="0.3">
      <c r="Q285" s="30"/>
    </row>
    <row r="286" spans="7:17" x14ac:dyDescent="0.3">
      <c r="Q286" s="30"/>
    </row>
    <row r="287" spans="7:17" x14ac:dyDescent="0.3">
      <c r="Q287" s="30"/>
    </row>
    <row r="288" spans="7:17" x14ac:dyDescent="0.3">
      <c r="Q288" s="30"/>
    </row>
    <row r="289" spans="17:17" x14ac:dyDescent="0.3">
      <c r="Q289" s="30"/>
    </row>
    <row r="290" spans="17:17" x14ac:dyDescent="0.3">
      <c r="Q290" s="30"/>
    </row>
    <row r="291" spans="17:17" x14ac:dyDescent="0.3">
      <c r="Q291" s="30"/>
    </row>
    <row r="292" spans="17:17" x14ac:dyDescent="0.3">
      <c r="Q292" s="30"/>
    </row>
    <row r="293" spans="17:17" x14ac:dyDescent="0.3">
      <c r="Q293" s="30"/>
    </row>
    <row r="294" spans="17:17" x14ac:dyDescent="0.3">
      <c r="Q294" s="30"/>
    </row>
    <row r="295" spans="17:17" x14ac:dyDescent="0.3">
      <c r="Q295" s="30"/>
    </row>
    <row r="296" spans="17:17" x14ac:dyDescent="0.3">
      <c r="Q296" s="30"/>
    </row>
    <row r="297" spans="17:17" x14ac:dyDescent="0.3">
      <c r="Q297" s="30"/>
    </row>
    <row r="298" spans="17:17" x14ac:dyDescent="0.3">
      <c r="Q298" s="30"/>
    </row>
    <row r="299" spans="17:17" x14ac:dyDescent="0.3">
      <c r="Q299" s="30"/>
    </row>
    <row r="300" spans="17:17" x14ac:dyDescent="0.3">
      <c r="Q300" s="30"/>
    </row>
    <row r="301" spans="17:17" x14ac:dyDescent="0.3">
      <c r="Q301" s="30"/>
    </row>
  </sheetData>
  <autoFilter ref="A1:Q301" xr:uid="{81E14554-C7F1-48AA-946B-ED76ECE00DAB}"/>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1684C-0899-4079-8F57-AA64B7707787}">
  <sheetPr codeName="Sheet6">
    <tabColor rgb="FF92D050"/>
  </sheetPr>
  <dimension ref="A1:G301"/>
  <sheetViews>
    <sheetView zoomScaleNormal="100" workbookViewId="0">
      <selection activeCell="F1" sqref="F1"/>
    </sheetView>
  </sheetViews>
  <sheetFormatPr defaultRowHeight="14.4" x14ac:dyDescent="0.3"/>
  <cols>
    <col min="1" max="1" width="10.6640625" bestFit="1" customWidth="1"/>
    <col min="2" max="2" width="12" bestFit="1" customWidth="1"/>
    <col min="3" max="3" width="12.33203125" bestFit="1" customWidth="1"/>
    <col min="4" max="4" width="15.6640625" bestFit="1" customWidth="1"/>
    <col min="5" max="5" width="6.44140625" bestFit="1" customWidth="1"/>
    <col min="6" max="6" width="13.33203125" bestFit="1" customWidth="1"/>
    <col min="7" max="7" width="22.88671875" bestFit="1" customWidth="1"/>
  </cols>
  <sheetData>
    <row r="1" spans="1:7" x14ac:dyDescent="0.3">
      <c r="A1" s="2" t="s">
        <v>9</v>
      </c>
      <c r="B1" s="2" t="s">
        <v>103</v>
      </c>
      <c r="C1" s="2" t="s">
        <v>104</v>
      </c>
      <c r="D1" s="2" t="s">
        <v>105</v>
      </c>
      <c r="E1" s="2" t="s">
        <v>106</v>
      </c>
      <c r="F1" s="2" t="s">
        <v>107</v>
      </c>
      <c r="G1" s="2" t="s">
        <v>187</v>
      </c>
    </row>
    <row r="2" spans="1:7" x14ac:dyDescent="0.3">
      <c r="A2" s="25" t="s">
        <v>92</v>
      </c>
      <c r="B2" t="s">
        <v>115</v>
      </c>
      <c r="C2">
        <v>3.85</v>
      </c>
      <c r="D2">
        <v>8.6300000000000008</v>
      </c>
      <c r="E2">
        <v>27</v>
      </c>
      <c r="F2">
        <v>85.69</v>
      </c>
      <c r="G2" s="25" t="str" cm="1">
        <f t="array" ref="G2">IF(
  ISNUMBER(DATEVALUE(A2)),
  TEXT(DATEVALUE(A2),"yyyy-mm-dd"),
  IFERROR(
    TEXT(INDEX($A$2:$A$301,MATCH(1,
      ($B$2:$B$301=B2) * ($C$2:$C$301=C2) * ($D$2:$D$301=D2) * ($E$2:$E$301=E2) *
      ($F$2:$F$301=F2),0)),"yyyy-mm-dd"),
    "Perlu Klarifikasi"
  )
)</f>
        <v>2024-01-01</v>
      </c>
    </row>
    <row r="3" spans="1:7" x14ac:dyDescent="0.3">
      <c r="A3" s="25" t="s">
        <v>36</v>
      </c>
      <c r="B3" t="s">
        <v>115</v>
      </c>
      <c r="C3">
        <v>3.86</v>
      </c>
      <c r="D3">
        <v>9.33</v>
      </c>
      <c r="E3">
        <v>43</v>
      </c>
      <c r="F3">
        <v>135.66999999999999</v>
      </c>
      <c r="G3" s="25" t="str" cm="1">
        <f t="array" ref="G3">IF(
  ISNUMBER(DATEVALUE(A3)),
  TEXT(DATEVALUE(A3),"yyyy-mm-dd"),
  IFERROR(
    TEXT(INDEX($A$2:$A$301,MATCH(1,
      ($B$2:$B$301=B3) * ($C$2:$C$301=C3) * ($D$2:$D$301=D3) * ($E$2:$E$301=E3) *
      ($F$2:$F$301=F3),0)),"yyyy-mm-dd"),
    "Perlu Klarifikasi"
  )
)</f>
        <v>2024-01-03</v>
      </c>
    </row>
    <row r="4" spans="1:7" x14ac:dyDescent="0.3">
      <c r="A4" s="25" t="s">
        <v>36</v>
      </c>
      <c r="B4" t="s">
        <v>115</v>
      </c>
      <c r="C4">
        <v>3.86</v>
      </c>
      <c r="D4">
        <v>9.33</v>
      </c>
      <c r="E4">
        <v>43</v>
      </c>
      <c r="F4">
        <v>135.66999999999999</v>
      </c>
      <c r="G4" s="25" t="str" cm="1">
        <f t="array" ref="G4">IF(
  ISNUMBER(DATEVALUE(A4)),
  TEXT(DATEVALUE(A4),"yyyy-mm-dd"),
  IFERROR(
    TEXT(INDEX($A$2:$A$301,MATCH(1,
      ($B$2:$B$301=B4) * ($C$2:$C$301=C4) * ($D$2:$D$301=D4) * ($E$2:$E$301=E4) *
      ($F$2:$F$301=F4),0)),"yyyy-mm-dd"),
    "Perlu Klarifikasi"
  )
)</f>
        <v>2024-01-03</v>
      </c>
    </row>
    <row r="5" spans="1:7" x14ac:dyDescent="0.3">
      <c r="A5" s="25" t="s">
        <v>36</v>
      </c>
      <c r="B5" t="s">
        <v>108</v>
      </c>
      <c r="C5">
        <v>6.1</v>
      </c>
      <c r="D5">
        <v>11.43</v>
      </c>
      <c r="E5">
        <v>20</v>
      </c>
      <c r="F5">
        <v>50.09</v>
      </c>
      <c r="G5" s="25" t="str" cm="1">
        <f t="array" ref="G5">IF(
  ISNUMBER(DATEVALUE(A5)),
  TEXT(DATEVALUE(A5),"yyyy-mm-dd"),
  IFERROR(
    TEXT(INDEX($A$2:$A$301,MATCH(1,
      ($B$2:$B$301=B5) * ($C$2:$C$301=C5) * ($D$2:$D$301=D5) * ($E$2:$E$301=E5) *
      ($F$2:$F$301=F5),0)),"yyyy-mm-dd"),
    "Perlu Klarifikasi"
  )
)</f>
        <v>2024-01-03</v>
      </c>
    </row>
    <row r="6" spans="1:7" x14ac:dyDescent="0.3">
      <c r="A6" s="25" t="s">
        <v>54</v>
      </c>
      <c r="B6" t="s">
        <v>111</v>
      </c>
      <c r="C6">
        <v>4.9400000000000004</v>
      </c>
      <c r="D6">
        <v>8.73</v>
      </c>
      <c r="E6">
        <v>42</v>
      </c>
      <c r="F6">
        <v>118.19</v>
      </c>
      <c r="G6" s="25" t="str" cm="1">
        <f t="array" ref="G6">IF(
  ISNUMBER(DATEVALUE(A6)),
  TEXT(DATEVALUE(A6),"yyyy-mm-dd"),
  IFERROR(
    TEXT(INDEX($A$2:$A$301,MATCH(1,
      ($B$2:$B$301=B6) * ($C$2:$C$301=C6) * ($D$2:$D$301=D6) * ($E$2:$E$301=E6) *
      ($F$2:$F$301=F6),0)),"yyyy-mm-dd"),
    "Perlu Klarifikasi"
  )
)</f>
        <v>2024-01-04</v>
      </c>
    </row>
    <row r="7" spans="1:7" x14ac:dyDescent="0.3">
      <c r="A7" s="25" t="s">
        <v>54</v>
      </c>
      <c r="B7" t="s">
        <v>111</v>
      </c>
      <c r="C7">
        <v>4.9400000000000004</v>
      </c>
      <c r="D7">
        <v>8.73</v>
      </c>
      <c r="E7">
        <v>42</v>
      </c>
      <c r="F7">
        <v>118.19</v>
      </c>
      <c r="G7" s="25" t="str" cm="1">
        <f t="array" ref="G7">IF(
  ISNUMBER(DATEVALUE(A7)),
  TEXT(DATEVALUE(A7),"yyyy-mm-dd"),
  IFERROR(
    TEXT(INDEX($A$2:$A$301,MATCH(1,
      ($B$2:$B$301=B7) * ($C$2:$C$301=C7) * ($D$2:$D$301=D7) * ($E$2:$E$301=E7) *
      ($F$2:$F$301=F7),0)),"yyyy-mm-dd"),
    "Perlu Klarifikasi"
  )
)</f>
        <v>2024-01-04</v>
      </c>
    </row>
    <row r="8" spans="1:7" x14ac:dyDescent="0.3">
      <c r="A8" s="25" t="s">
        <v>54</v>
      </c>
      <c r="B8" t="s">
        <v>109</v>
      </c>
      <c r="C8">
        <v>4.08</v>
      </c>
      <c r="D8">
        <v>5.88</v>
      </c>
      <c r="E8">
        <v>32</v>
      </c>
      <c r="F8">
        <v>103.67</v>
      </c>
      <c r="G8" s="25" t="str" cm="1">
        <f t="array" ref="G8">IF(
  ISNUMBER(DATEVALUE(A8)),
  TEXT(DATEVALUE(A8),"yyyy-mm-dd"),
  IFERROR(
    TEXT(INDEX($A$2:$A$301,MATCH(1,
      ($B$2:$B$301=B8) * ($C$2:$C$301=C8) * ($D$2:$D$301=D8) * ($E$2:$E$301=E8) *
      ($F$2:$F$301=F8),0)),"yyyy-mm-dd"),
    "Perlu Klarifikasi"
  )
)</f>
        <v>2024-01-04</v>
      </c>
    </row>
    <row r="9" spans="1:7" x14ac:dyDescent="0.3">
      <c r="A9" s="25" t="s">
        <v>24</v>
      </c>
      <c r="B9" t="s">
        <v>109</v>
      </c>
      <c r="C9">
        <v>3.52</v>
      </c>
      <c r="D9">
        <v>8.7100000000000009</v>
      </c>
      <c r="E9">
        <v>20</v>
      </c>
      <c r="F9">
        <v>66.83</v>
      </c>
      <c r="G9" s="25" t="str" cm="1">
        <f t="array" ref="G9">IF(
  ISNUMBER(DATEVALUE(A9)),
  TEXT(DATEVALUE(A9),"yyyy-mm-dd"),
  IFERROR(
    TEXT(INDEX($A$2:$A$301,MATCH(1,
      ($B$2:$B$301=B9) * ($C$2:$C$301=C9) * ($D$2:$D$301=D9) * ($E$2:$E$301=E9) *
      ($F$2:$F$301=F9),0)),"yyyy-mm-dd"),
    "Perlu Klarifikasi"
  )
)</f>
        <v>2024-01-07</v>
      </c>
    </row>
    <row r="10" spans="1:7" x14ac:dyDescent="0.3">
      <c r="A10" s="25" t="s">
        <v>24</v>
      </c>
      <c r="B10" t="s">
        <v>111</v>
      </c>
      <c r="C10">
        <v>5.93</v>
      </c>
      <c r="D10">
        <v>9.0299999999999994</v>
      </c>
      <c r="E10">
        <v>16</v>
      </c>
      <c r="F10">
        <v>32.380000000000003</v>
      </c>
      <c r="G10" s="25" t="str" cm="1">
        <f t="array" ref="G10">IF(
  ISNUMBER(DATEVALUE(A10)),
  TEXT(DATEVALUE(A10),"yyyy-mm-dd"),
  IFERROR(
    TEXT(INDEX($A$2:$A$301,MATCH(1,
      ($B$2:$B$301=B10) * ($C$2:$C$301=C10) * ($D$2:$D$301=D10) * ($E$2:$E$301=E10) *
      ($F$2:$F$301=F10),0)),"yyyy-mm-dd"),
    "Perlu Klarifikasi"
  )
)</f>
        <v>2024-01-07</v>
      </c>
    </row>
    <row r="11" spans="1:7" x14ac:dyDescent="0.3">
      <c r="A11" s="25" t="s">
        <v>24</v>
      </c>
      <c r="B11" t="s">
        <v>113</v>
      </c>
      <c r="C11">
        <v>5.1100000000000003</v>
      </c>
      <c r="D11">
        <v>8.66</v>
      </c>
      <c r="E11">
        <v>45</v>
      </c>
      <c r="F11">
        <v>135.11000000000001</v>
      </c>
      <c r="G11" s="25" t="str" cm="1">
        <f t="array" ref="G11">IF(
  ISNUMBER(DATEVALUE(A11)),
  TEXT(DATEVALUE(A11),"yyyy-mm-dd"),
  IFERROR(
    TEXT(INDEX($A$2:$A$301,MATCH(1,
      ($B$2:$B$301=B11) * ($C$2:$C$301=C11) * ($D$2:$D$301=D11) * ($E$2:$E$301=E11) *
      ($F$2:$F$301=F11),0)),"yyyy-mm-dd"),
    "Perlu Klarifikasi"
  )
)</f>
        <v>2024-01-07</v>
      </c>
    </row>
    <row r="12" spans="1:7" x14ac:dyDescent="0.3">
      <c r="A12" s="25" t="s">
        <v>24</v>
      </c>
      <c r="B12" t="s">
        <v>111</v>
      </c>
      <c r="C12">
        <v>3.34</v>
      </c>
      <c r="D12">
        <v>13.06</v>
      </c>
      <c r="E12">
        <v>27</v>
      </c>
      <c r="F12">
        <v>69.2</v>
      </c>
      <c r="G12" s="25" t="str" cm="1">
        <f t="array" ref="G12">IF(
  ISNUMBER(DATEVALUE(A12)),
  TEXT(DATEVALUE(A12),"yyyy-mm-dd"),
  IFERROR(
    TEXT(INDEX($A$2:$A$301,MATCH(1,
      ($B$2:$B$301=B12) * ($C$2:$C$301=C12) * ($D$2:$D$301=D12) * ($E$2:$E$301=E12) *
      ($F$2:$F$301=F12),0)),"yyyy-mm-dd"),
    "Perlu Klarifikasi"
  )
)</f>
        <v>2024-01-07</v>
      </c>
    </row>
    <row r="13" spans="1:7" x14ac:dyDescent="0.3">
      <c r="A13" s="25" t="s">
        <v>24</v>
      </c>
      <c r="B13" t="s">
        <v>111</v>
      </c>
      <c r="C13">
        <v>7.98</v>
      </c>
      <c r="D13">
        <v>9.5299999999999994</v>
      </c>
      <c r="E13">
        <v>32</v>
      </c>
      <c r="F13">
        <v>73.959999999999994</v>
      </c>
      <c r="G13" s="25" t="str" cm="1">
        <f t="array" ref="G13">IF(
  ISNUMBER(DATEVALUE(A13)),
  TEXT(DATEVALUE(A13),"yyyy-mm-dd"),
  IFERROR(
    TEXT(INDEX($A$2:$A$301,MATCH(1,
      ($B$2:$B$301=B13) * ($C$2:$C$301=C13) * ($D$2:$D$301=D13) * ($E$2:$E$301=E13) *
      ($F$2:$F$301=F13),0)),"yyyy-mm-dd"),
    "Perlu Klarifikasi"
  )
)</f>
        <v>2024-01-07</v>
      </c>
    </row>
    <row r="14" spans="1:7" x14ac:dyDescent="0.3">
      <c r="A14" s="25" t="s">
        <v>24</v>
      </c>
      <c r="B14" t="s">
        <v>111</v>
      </c>
      <c r="C14">
        <v>5.93</v>
      </c>
      <c r="D14">
        <v>9.0299999999999994</v>
      </c>
      <c r="E14">
        <v>16</v>
      </c>
      <c r="F14">
        <v>32.380000000000003</v>
      </c>
      <c r="G14" s="25" t="str" cm="1">
        <f t="array" ref="G14">IF(
  ISNUMBER(DATEVALUE(A14)),
  TEXT(DATEVALUE(A14),"yyyy-mm-dd"),
  IFERROR(
    TEXT(INDEX($A$2:$A$301,MATCH(1,
      ($B$2:$B$301=B14) * ($C$2:$C$301=C14) * ($D$2:$D$301=D14) * ($E$2:$E$301=E14) *
      ($F$2:$F$301=F14),0)),"yyyy-mm-dd"),
    "Perlu Klarifikasi"
  )
)</f>
        <v>2024-01-07</v>
      </c>
    </row>
    <row r="15" spans="1:7" x14ac:dyDescent="0.3">
      <c r="A15" s="25" t="s">
        <v>24</v>
      </c>
      <c r="B15" t="s">
        <v>111</v>
      </c>
      <c r="C15">
        <v>7.98</v>
      </c>
      <c r="D15">
        <v>9.5299999999999994</v>
      </c>
      <c r="E15">
        <v>32</v>
      </c>
      <c r="F15">
        <v>73.959999999999994</v>
      </c>
      <c r="G15" s="25" t="str" cm="1">
        <f t="array" ref="G15">IF(
  ISNUMBER(DATEVALUE(A15)),
  TEXT(DATEVALUE(A15),"yyyy-mm-dd"),
  IFERROR(
    TEXT(INDEX($A$2:$A$301,MATCH(1,
      ($B$2:$B$301=B15) * ($C$2:$C$301=C15) * ($D$2:$D$301=D15) * ($E$2:$E$301=E15) *
      ($F$2:$F$301=F15),0)),"yyyy-mm-dd"),
    "Perlu Klarifikasi"
  )
)</f>
        <v>2024-01-07</v>
      </c>
    </row>
    <row r="16" spans="1:7" x14ac:dyDescent="0.3">
      <c r="A16" s="25" t="s">
        <v>24</v>
      </c>
      <c r="B16" t="s">
        <v>111</v>
      </c>
      <c r="C16">
        <v>3.34</v>
      </c>
      <c r="D16">
        <v>13.06</v>
      </c>
      <c r="E16">
        <v>27</v>
      </c>
      <c r="F16">
        <v>69.2</v>
      </c>
      <c r="G16" s="25" t="str" cm="1">
        <f t="array" ref="G16">IF(
  ISNUMBER(DATEVALUE(A16)),
  TEXT(DATEVALUE(A16),"yyyy-mm-dd"),
  IFERROR(
    TEXT(INDEX($A$2:$A$301,MATCH(1,
      ($B$2:$B$301=B16) * ($C$2:$C$301=C16) * ($D$2:$D$301=D16) * ($E$2:$E$301=E16) *
      ($F$2:$F$301=F16),0)),"yyyy-mm-dd"),
    "Perlu Klarifikasi"
  )
)</f>
        <v>2024-01-07</v>
      </c>
    </row>
    <row r="17" spans="1:7" x14ac:dyDescent="0.3">
      <c r="A17" s="25" t="s">
        <v>24</v>
      </c>
      <c r="B17" t="s">
        <v>109</v>
      </c>
      <c r="C17">
        <v>2.04</v>
      </c>
      <c r="D17">
        <v>14.75</v>
      </c>
      <c r="E17">
        <v>19</v>
      </c>
      <c r="F17">
        <v>53.08</v>
      </c>
      <c r="G17" s="25" t="str" cm="1">
        <f t="array" ref="G17">IF(
  ISNUMBER(DATEVALUE(A17)),
  TEXT(DATEVALUE(A17),"yyyy-mm-dd"),
  IFERROR(
    TEXT(INDEX($A$2:$A$301,MATCH(1,
      ($B$2:$B$301=B17) * ($C$2:$C$301=C17) * ($D$2:$D$301=D17) * ($E$2:$E$301=E17) *
      ($F$2:$F$301=F17),0)),"yyyy-mm-dd"),
    "Perlu Klarifikasi"
  )
)</f>
        <v>2024-01-07</v>
      </c>
    </row>
    <row r="18" spans="1:7" x14ac:dyDescent="0.3">
      <c r="A18" s="25" t="s">
        <v>24</v>
      </c>
      <c r="B18" t="s">
        <v>109</v>
      </c>
      <c r="C18">
        <v>3.52</v>
      </c>
      <c r="D18">
        <v>8.7100000000000009</v>
      </c>
      <c r="E18">
        <v>20</v>
      </c>
      <c r="F18">
        <v>66.83</v>
      </c>
      <c r="G18" s="25" t="str" cm="1">
        <f t="array" ref="G18">IF(
  ISNUMBER(DATEVALUE(A18)),
  TEXT(DATEVALUE(A18),"yyyy-mm-dd"),
  IFERROR(
    TEXT(INDEX($A$2:$A$301,MATCH(1,
      ($B$2:$B$301=B18) * ($C$2:$C$301=C18) * ($D$2:$D$301=D18) * ($E$2:$E$301=E18) *
      ($F$2:$F$301=F18),0)),"yyyy-mm-dd"),
    "Perlu Klarifikasi"
  )
)</f>
        <v>2024-01-07</v>
      </c>
    </row>
    <row r="19" spans="1:7" x14ac:dyDescent="0.3">
      <c r="A19" s="25" t="s">
        <v>114</v>
      </c>
      <c r="B19" t="s">
        <v>115</v>
      </c>
      <c r="C19">
        <v>6.12</v>
      </c>
      <c r="D19">
        <v>11.28</v>
      </c>
      <c r="E19">
        <v>32</v>
      </c>
      <c r="F19">
        <v>67.489999999999995</v>
      </c>
      <c r="G19" s="25" t="str" cm="1">
        <f t="array" ref="G19">IF(
  ISNUMBER(DATEVALUE(A19)),
  TEXT(DATEVALUE(A19),"yyyy-mm-dd"),
  IFERROR(
    TEXT(INDEX($A$2:$A$301,MATCH(1,
      ($B$2:$B$301=B19) * ($C$2:$C$301=C19) * ($D$2:$D$301=D19) * ($E$2:$E$301=E19) *
      ($F$2:$F$301=F19),0)),"yyyy-mm-dd"),
    "Perlu Klarifikasi"
  )
)</f>
        <v>2024-01-08</v>
      </c>
    </row>
    <row r="20" spans="1:7" x14ac:dyDescent="0.3">
      <c r="A20" s="25" t="s">
        <v>114</v>
      </c>
      <c r="B20" t="s">
        <v>115</v>
      </c>
      <c r="C20">
        <v>3.11</v>
      </c>
      <c r="D20">
        <v>14.21</v>
      </c>
      <c r="E20">
        <v>13</v>
      </c>
      <c r="F20">
        <v>23.78</v>
      </c>
      <c r="G20" s="25" t="str" cm="1">
        <f t="array" ref="G20">IF(
  ISNUMBER(DATEVALUE(A20)),
  TEXT(DATEVALUE(A20),"yyyy-mm-dd"),
  IFERROR(
    TEXT(INDEX($A$2:$A$301,MATCH(1,
      ($B$2:$B$301=B20) * ($C$2:$C$301=C20) * ($D$2:$D$301=D20) * ($E$2:$E$301=E20) *
      ($F$2:$F$301=F20),0)),"yyyy-mm-dd"),
    "Perlu Klarifikasi"
  )
)</f>
        <v>2024-01-08</v>
      </c>
    </row>
    <row r="21" spans="1:7" x14ac:dyDescent="0.3">
      <c r="A21" s="25" t="s">
        <v>114</v>
      </c>
      <c r="B21" t="s">
        <v>115</v>
      </c>
      <c r="C21">
        <v>3.11</v>
      </c>
      <c r="D21">
        <v>14.21</v>
      </c>
      <c r="E21">
        <v>13</v>
      </c>
      <c r="F21">
        <v>23.78</v>
      </c>
      <c r="G21" s="25" t="str" cm="1">
        <f t="array" ref="G21">IF(
  ISNUMBER(DATEVALUE(A21)),
  TEXT(DATEVALUE(A21),"yyyy-mm-dd"),
  IFERROR(
    TEXT(INDEX($A$2:$A$301,MATCH(1,
      ($B$2:$B$301=B21) * ($C$2:$C$301=C21) * ($D$2:$D$301=D21) * ($E$2:$E$301=E21) *
      ($F$2:$F$301=F21),0)),"yyyy-mm-dd"),
    "Perlu Klarifikasi"
  )
)</f>
        <v>2024-01-08</v>
      </c>
    </row>
    <row r="22" spans="1:7" x14ac:dyDescent="0.3">
      <c r="A22" s="25" t="s">
        <v>114</v>
      </c>
      <c r="B22" t="s">
        <v>113</v>
      </c>
      <c r="C22">
        <v>2.35</v>
      </c>
      <c r="D22">
        <v>9.9700000000000006</v>
      </c>
      <c r="E22">
        <v>25</v>
      </c>
      <c r="F22">
        <v>74.459999999999994</v>
      </c>
      <c r="G22" s="25" t="str" cm="1">
        <f t="array" ref="G22">IF(
  ISNUMBER(DATEVALUE(A22)),
  TEXT(DATEVALUE(A22),"yyyy-mm-dd"),
  IFERROR(
    TEXT(INDEX($A$2:$A$301,MATCH(1,
      ($B$2:$B$301=B22) * ($C$2:$C$301=C22) * ($D$2:$D$301=D22) * ($E$2:$E$301=E22) *
      ($F$2:$F$301=F22),0)),"yyyy-mm-dd"),
    "Perlu Klarifikasi"
  )
)</f>
        <v>2024-01-08</v>
      </c>
    </row>
    <row r="23" spans="1:7" x14ac:dyDescent="0.3">
      <c r="A23" s="25" t="s">
        <v>114</v>
      </c>
      <c r="B23" t="s">
        <v>108</v>
      </c>
      <c r="C23">
        <v>2.29</v>
      </c>
      <c r="D23">
        <v>7.23</v>
      </c>
      <c r="E23">
        <v>41</v>
      </c>
      <c r="F23">
        <v>83.81</v>
      </c>
      <c r="G23" s="25" t="str" cm="1">
        <f t="array" ref="G23">IF(
  ISNUMBER(DATEVALUE(A23)),
  TEXT(DATEVALUE(A23),"yyyy-mm-dd"),
  IFERROR(
    TEXT(INDEX($A$2:$A$301,MATCH(1,
      ($B$2:$B$301=B23) * ($C$2:$C$301=C23) * ($D$2:$D$301=D23) * ($E$2:$E$301=E23) *
      ($F$2:$F$301=F23),0)),"yyyy-mm-dd"),
    "Perlu Klarifikasi"
  )
)</f>
        <v>2024-01-08</v>
      </c>
    </row>
    <row r="24" spans="1:7" x14ac:dyDescent="0.3">
      <c r="A24" s="25" t="s">
        <v>114</v>
      </c>
      <c r="B24" t="s">
        <v>108</v>
      </c>
      <c r="C24">
        <v>2.29</v>
      </c>
      <c r="D24">
        <v>7.23</v>
      </c>
      <c r="E24">
        <v>41</v>
      </c>
      <c r="F24">
        <v>83.81</v>
      </c>
      <c r="G24" s="25" t="str" cm="1">
        <f t="array" ref="G24">IF(
  ISNUMBER(DATEVALUE(A24)),
  TEXT(DATEVALUE(A24),"yyyy-mm-dd"),
  IFERROR(
    TEXT(INDEX($A$2:$A$301,MATCH(1,
      ($B$2:$B$301=B24) * ($C$2:$C$301=C24) * ($D$2:$D$301=D24) * ($E$2:$E$301=E24) *
      ($F$2:$F$301=F24),0)),"yyyy-mm-dd"),
    "Perlu Klarifikasi"
  )
)</f>
        <v>2024-01-08</v>
      </c>
    </row>
    <row r="25" spans="1:7" x14ac:dyDescent="0.3">
      <c r="A25" s="25" t="s">
        <v>114</v>
      </c>
      <c r="B25" t="s">
        <v>115</v>
      </c>
      <c r="C25">
        <v>6.12</v>
      </c>
      <c r="D25">
        <v>11.28</v>
      </c>
      <c r="E25">
        <v>32</v>
      </c>
      <c r="F25">
        <v>67.489999999999995</v>
      </c>
      <c r="G25" s="25" t="str" cm="1">
        <f t="array" ref="G25">IF(
  ISNUMBER(DATEVALUE(A25)),
  TEXT(DATEVALUE(A25),"yyyy-mm-dd"),
  IFERROR(
    TEXT(INDEX($A$2:$A$301,MATCH(1,
      ($B$2:$B$301=B25) * ($C$2:$C$301=C25) * ($D$2:$D$301=D25) * ($E$2:$E$301=E25) *
      ($F$2:$F$301=F25),0)),"yyyy-mm-dd"),
    "Perlu Klarifikasi"
  )
)</f>
        <v>2024-01-08</v>
      </c>
    </row>
    <row r="26" spans="1:7" x14ac:dyDescent="0.3">
      <c r="A26" s="25" t="s">
        <v>114</v>
      </c>
      <c r="B26" t="s">
        <v>115</v>
      </c>
      <c r="C26">
        <v>3.11</v>
      </c>
      <c r="D26">
        <v>14.21</v>
      </c>
      <c r="E26">
        <v>13</v>
      </c>
      <c r="F26">
        <v>23.78</v>
      </c>
      <c r="G26" s="25" t="str" cm="1">
        <f t="array" ref="G26">IF(
  ISNUMBER(DATEVALUE(A26)),
  TEXT(DATEVALUE(A26),"yyyy-mm-dd"),
  IFERROR(
    TEXT(INDEX($A$2:$A$301,MATCH(1,
      ($B$2:$B$301=B26) * ($C$2:$C$301=C26) * ($D$2:$D$301=D26) * ($E$2:$E$301=E26) *
      ($F$2:$F$301=F26),0)),"yyyy-mm-dd"),
    "Perlu Klarifikasi"
  )
)</f>
        <v>2024-01-08</v>
      </c>
    </row>
    <row r="27" spans="1:7" x14ac:dyDescent="0.3">
      <c r="A27" s="25" t="s">
        <v>114</v>
      </c>
      <c r="B27" t="s">
        <v>113</v>
      </c>
      <c r="C27">
        <v>2.35</v>
      </c>
      <c r="D27">
        <v>9.9700000000000006</v>
      </c>
      <c r="E27">
        <v>25</v>
      </c>
      <c r="F27">
        <v>74.459999999999994</v>
      </c>
      <c r="G27" s="25" t="str" cm="1">
        <f t="array" ref="G27">IF(
  ISNUMBER(DATEVALUE(A27)),
  TEXT(DATEVALUE(A27),"yyyy-mm-dd"),
  IFERROR(
    TEXT(INDEX($A$2:$A$301,MATCH(1,
      ($B$2:$B$301=B27) * ($C$2:$C$301=C27) * ($D$2:$D$301=D27) * ($E$2:$E$301=E27) *
      ($F$2:$F$301=F27),0)),"yyyy-mm-dd"),
    "Perlu Klarifikasi"
  )
)</f>
        <v>2024-01-08</v>
      </c>
    </row>
    <row r="28" spans="1:7" x14ac:dyDescent="0.3">
      <c r="A28" s="25" t="s">
        <v>87</v>
      </c>
      <c r="B28" t="s">
        <v>115</v>
      </c>
      <c r="C28">
        <v>4.68</v>
      </c>
      <c r="D28">
        <v>8.76</v>
      </c>
      <c r="E28">
        <v>25</v>
      </c>
      <c r="F28">
        <v>59.96</v>
      </c>
      <c r="G28" s="25" t="str" cm="1">
        <f t="array" ref="G28">IF(
  ISNUMBER(DATEVALUE(A28)),
  TEXT(DATEVALUE(A28),"yyyy-mm-dd"),
  IFERROR(
    TEXT(INDEX($A$2:$A$301,MATCH(1,
      ($B$2:$B$301=B28) * ($C$2:$C$301=C28) * ($D$2:$D$301=D28) * ($E$2:$E$301=E28) *
      ($F$2:$F$301=F28),0)),"yyyy-mm-dd"),
    "Perlu Klarifikasi"
  )
)</f>
        <v>2024-01-10</v>
      </c>
    </row>
    <row r="29" spans="1:7" x14ac:dyDescent="0.3">
      <c r="A29" s="25" t="s">
        <v>87</v>
      </c>
      <c r="B29" t="s">
        <v>115</v>
      </c>
      <c r="C29">
        <v>4.68</v>
      </c>
      <c r="D29">
        <v>8.76</v>
      </c>
      <c r="E29">
        <v>25</v>
      </c>
      <c r="F29" s="22">
        <f>F28</f>
        <v>59.96</v>
      </c>
      <c r="G29" s="25" t="str" cm="1">
        <f t="array" ref="G29">IF(
  ISNUMBER(DATEVALUE(A29)),
  TEXT(DATEVALUE(A29),"yyyy-mm-dd"),
  IFERROR(
    TEXT(INDEX($A$2:$A$301,MATCH(1,
      ($B$2:$B$301=B29) * ($C$2:$C$301=C29) * ($D$2:$D$301=D29) * ($E$2:$E$301=E29) *
      ($F$2:$F$301=F29),0)),"yyyy-mm-dd"),
    "Perlu Klarifikasi"
  )
)</f>
        <v>2024-01-10</v>
      </c>
    </row>
    <row r="30" spans="1:7" x14ac:dyDescent="0.3">
      <c r="A30" s="25" t="s">
        <v>87</v>
      </c>
      <c r="B30" t="s">
        <v>113</v>
      </c>
      <c r="C30">
        <v>5.32</v>
      </c>
      <c r="D30">
        <v>7.89</v>
      </c>
      <c r="E30">
        <v>35</v>
      </c>
      <c r="F30">
        <v>118.77</v>
      </c>
      <c r="G30" s="25" t="str" cm="1">
        <f t="array" ref="G30">IF(
  ISNUMBER(DATEVALUE(A30)),
  TEXT(DATEVALUE(A30),"yyyy-mm-dd"),
  IFERROR(
    TEXT(INDEX($A$2:$A$301,MATCH(1,
      ($B$2:$B$301=B30) * ($C$2:$C$301=C30) * ($D$2:$D$301=D30) * ($E$2:$E$301=E30) *
      ($F$2:$F$301=F30),0)),"yyyy-mm-dd"),
    "Perlu Klarifikasi"
  )
)</f>
        <v>2024-01-10</v>
      </c>
    </row>
    <row r="31" spans="1:7" x14ac:dyDescent="0.3">
      <c r="A31" s="25" t="s">
        <v>87</v>
      </c>
      <c r="B31" t="s">
        <v>115</v>
      </c>
      <c r="C31">
        <v>4.68</v>
      </c>
      <c r="D31">
        <v>8.76</v>
      </c>
      <c r="E31">
        <v>25</v>
      </c>
      <c r="F31">
        <v>59.96</v>
      </c>
      <c r="G31" s="25" t="str" cm="1">
        <f t="array" ref="G31">IF(
  ISNUMBER(DATEVALUE(A31)),
  TEXT(DATEVALUE(A31),"yyyy-mm-dd"),
  IFERROR(
    TEXT(INDEX($A$2:$A$301,MATCH(1,
      ($B$2:$B$301=B31) * ($C$2:$C$301=C31) * ($D$2:$D$301=D31) * ($E$2:$E$301=E31) *
      ($F$2:$F$301=F31),0)),"yyyy-mm-dd"),
    "Perlu Klarifikasi"
  )
)</f>
        <v>2024-01-10</v>
      </c>
    </row>
    <row r="32" spans="1:7" x14ac:dyDescent="0.3">
      <c r="A32" s="25" t="s">
        <v>87</v>
      </c>
      <c r="B32" t="s">
        <v>115</v>
      </c>
      <c r="C32">
        <v>4.68</v>
      </c>
      <c r="D32">
        <v>8.76</v>
      </c>
      <c r="E32">
        <v>25</v>
      </c>
      <c r="F32">
        <v>59.96</v>
      </c>
      <c r="G32" s="25" t="str" cm="1">
        <f t="array" ref="G32">IF(
  ISNUMBER(DATEVALUE(A32)),
  TEXT(DATEVALUE(A32),"yyyy-mm-dd"),
  IFERROR(
    TEXT(INDEX($A$2:$A$301,MATCH(1,
      ($B$2:$B$301=B32) * ($C$2:$C$301=C32) * ($D$2:$D$301=D32) * ($E$2:$E$301=E32) *
      ($F$2:$F$301=F32),0)),"yyyy-mm-dd"),
    "Perlu Klarifikasi"
  )
)</f>
        <v>2024-01-10</v>
      </c>
    </row>
    <row r="33" spans="1:7" x14ac:dyDescent="0.3">
      <c r="A33" s="25" t="s">
        <v>87</v>
      </c>
      <c r="B33" t="s">
        <v>115</v>
      </c>
      <c r="C33">
        <v>6.61</v>
      </c>
      <c r="D33">
        <v>12.22</v>
      </c>
      <c r="E33">
        <v>39</v>
      </c>
      <c r="F33">
        <v>78.209999999999994</v>
      </c>
      <c r="G33" s="25" t="str" cm="1">
        <f t="array" ref="G33">IF(
  ISNUMBER(DATEVALUE(A33)),
  TEXT(DATEVALUE(A33),"yyyy-mm-dd"),
  IFERROR(
    TEXT(INDEX($A$2:$A$301,MATCH(1,
      ($B$2:$B$301=B33) * ($C$2:$C$301=C33) * ($D$2:$D$301=D33) * ($E$2:$E$301=E33) *
      ($F$2:$F$301=F33),0)),"yyyy-mm-dd"),
    "Perlu Klarifikasi"
  )
)</f>
        <v>2024-01-10</v>
      </c>
    </row>
    <row r="34" spans="1:7" x14ac:dyDescent="0.3">
      <c r="A34" s="25" t="s">
        <v>87</v>
      </c>
      <c r="B34" t="s">
        <v>113</v>
      </c>
      <c r="C34">
        <v>5.32</v>
      </c>
      <c r="D34">
        <v>7.89</v>
      </c>
      <c r="E34">
        <v>35</v>
      </c>
      <c r="F34">
        <v>118.77</v>
      </c>
      <c r="G34" s="25" t="str" cm="1">
        <f t="array" ref="G34">IF(
  ISNUMBER(DATEVALUE(A34)),
  TEXT(DATEVALUE(A34),"yyyy-mm-dd"),
  IFERROR(
    TEXT(INDEX($A$2:$A$301,MATCH(1,
      ($B$2:$B$301=B34) * ($C$2:$C$301=C34) * ($D$2:$D$301=D34) * ($E$2:$E$301=E34) *
      ($F$2:$F$301=F34),0)),"yyyy-mm-dd"),
    "Perlu Klarifikasi"
  )
)</f>
        <v>2024-01-10</v>
      </c>
    </row>
    <row r="35" spans="1:7" x14ac:dyDescent="0.3">
      <c r="A35" s="25" t="s">
        <v>102</v>
      </c>
      <c r="B35" t="s">
        <v>108</v>
      </c>
      <c r="C35">
        <v>4.05</v>
      </c>
      <c r="D35">
        <v>9.0299999999999994</v>
      </c>
      <c r="E35">
        <v>16</v>
      </c>
      <c r="F35">
        <v>32.619999999999997</v>
      </c>
      <c r="G35" s="25" t="str" cm="1">
        <f t="array" ref="G35">IF(
  ISNUMBER(DATEVALUE(A35)),
  TEXT(DATEVALUE(A35),"yyyy-mm-dd"),
  IFERROR(
    TEXT(INDEX($A$2:$A$301,MATCH(1,
      ($B$2:$B$301=B35) * ($C$2:$C$301=C35) * ($D$2:$D$301=D35) * ($E$2:$E$301=E35) *
      ($F$2:$F$301=F35),0)),"yyyy-mm-dd"),
    "Perlu Klarifikasi"
  )
)</f>
        <v>2024-01-11</v>
      </c>
    </row>
    <row r="36" spans="1:7" x14ac:dyDescent="0.3">
      <c r="A36" s="25" t="s">
        <v>102</v>
      </c>
      <c r="B36" t="s">
        <v>108</v>
      </c>
      <c r="C36">
        <v>4.05</v>
      </c>
      <c r="D36">
        <v>9.0299999999999994</v>
      </c>
      <c r="E36">
        <v>16</v>
      </c>
      <c r="F36">
        <v>32.619999999999997</v>
      </c>
      <c r="G36" s="25" t="str" cm="1">
        <f t="array" ref="G36">IF(
  ISNUMBER(DATEVALUE(A36)),
  TEXT(DATEVALUE(A36),"yyyy-mm-dd"),
  IFERROR(
    TEXT(INDEX($A$2:$A$301,MATCH(1,
      ($B$2:$B$301=B36) * ($C$2:$C$301=C36) * ($D$2:$D$301=D36) * ($E$2:$E$301=E36) *
      ($F$2:$F$301=F36),0)),"yyyy-mm-dd"),
    "Perlu Klarifikasi"
  )
)</f>
        <v>2024-01-11</v>
      </c>
    </row>
    <row r="37" spans="1:7" x14ac:dyDescent="0.3">
      <c r="A37" s="25" t="s">
        <v>59</v>
      </c>
      <c r="B37" t="s">
        <v>108</v>
      </c>
      <c r="C37">
        <v>6.56</v>
      </c>
      <c r="D37">
        <v>7.02</v>
      </c>
      <c r="E37">
        <v>35</v>
      </c>
      <c r="F37">
        <v>71.319999999999993</v>
      </c>
      <c r="G37" s="25" t="str" cm="1">
        <f t="array" ref="G37">IF(
  ISNUMBER(DATEVALUE(A37)),
  TEXT(DATEVALUE(A37),"yyyy-mm-dd"),
  IFERROR(
    TEXT(INDEX($A$2:$A$301,MATCH(1,
      ($B$2:$B$301=B37) * ($C$2:$C$301=C37) * ($D$2:$D$301=D37) * ($E$2:$E$301=E37) *
      ($F$2:$F$301=F37),0)),"yyyy-mm-dd"),
    "Perlu Klarifikasi"
  )
)</f>
        <v>2024-01-12</v>
      </c>
    </row>
    <row r="38" spans="1:7" x14ac:dyDescent="0.3">
      <c r="A38" s="25" t="s">
        <v>59</v>
      </c>
      <c r="B38" t="s">
        <v>108</v>
      </c>
      <c r="C38">
        <v>7.97</v>
      </c>
      <c r="D38">
        <v>7.7</v>
      </c>
      <c r="E38">
        <v>18</v>
      </c>
      <c r="F38">
        <v>56.19</v>
      </c>
      <c r="G38" s="25" t="str" cm="1">
        <f t="array" ref="G38">IF(
  ISNUMBER(DATEVALUE(A38)),
  TEXT(DATEVALUE(A38),"yyyy-mm-dd"),
  IFERROR(
    TEXT(INDEX($A$2:$A$301,MATCH(1,
      ($B$2:$B$301=B38) * ($C$2:$C$301=C38) * ($D$2:$D$301=D38) * ($E$2:$E$301=E38) *
      ($F$2:$F$301=F38),0)),"yyyy-mm-dd"),
    "Perlu Klarifikasi"
  )
)</f>
        <v>2024-01-12</v>
      </c>
    </row>
    <row r="39" spans="1:7" x14ac:dyDescent="0.3">
      <c r="A39" s="25" t="s">
        <v>59</v>
      </c>
      <c r="B39" t="s">
        <v>109</v>
      </c>
      <c r="C39">
        <v>4.04</v>
      </c>
      <c r="D39">
        <v>5.52</v>
      </c>
      <c r="E39">
        <v>30</v>
      </c>
      <c r="F39">
        <v>78.599999999999994</v>
      </c>
      <c r="G39" s="25" t="str" cm="1">
        <f t="array" ref="G39">IF(
  ISNUMBER(DATEVALUE(A39)),
  TEXT(DATEVALUE(A39),"yyyy-mm-dd"),
  IFERROR(
    TEXT(INDEX($A$2:$A$301,MATCH(1,
      ($B$2:$B$301=B39) * ($C$2:$C$301=C39) * ($D$2:$D$301=D39) * ($E$2:$E$301=E39) *
      ($F$2:$F$301=F39),0)),"yyyy-mm-dd"),
    "Perlu Klarifikasi"
  )
)</f>
        <v>2024-01-12</v>
      </c>
    </row>
    <row r="40" spans="1:7" x14ac:dyDescent="0.3">
      <c r="A40" s="25" t="s">
        <v>59</v>
      </c>
      <c r="B40" t="s">
        <v>115</v>
      </c>
      <c r="C40">
        <v>6.61</v>
      </c>
      <c r="D40">
        <v>12.47</v>
      </c>
      <c r="E40">
        <v>41</v>
      </c>
      <c r="F40">
        <v>137.43</v>
      </c>
      <c r="G40" s="25" t="str" cm="1">
        <f t="array" ref="G40">IF(
  ISNUMBER(DATEVALUE(A40)),
  TEXT(DATEVALUE(A40),"yyyy-mm-dd"),
  IFERROR(
    TEXT(INDEX($A$2:$A$301,MATCH(1,
      ($B$2:$B$301=B40) * ($C$2:$C$301=C40) * ($D$2:$D$301=D40) * ($E$2:$E$301=E40) *
      ($F$2:$F$301=F40),0)),"yyyy-mm-dd"),
    "Perlu Klarifikasi"
  )
)</f>
        <v>2024-01-12</v>
      </c>
    </row>
    <row r="41" spans="1:7" x14ac:dyDescent="0.3">
      <c r="A41" s="26" t="s">
        <v>52</v>
      </c>
      <c r="B41" s="22" t="s">
        <v>108</v>
      </c>
      <c r="C41" s="22">
        <v>7.97</v>
      </c>
      <c r="D41" s="22">
        <v>7.7</v>
      </c>
      <c r="E41" s="22">
        <v>18</v>
      </c>
      <c r="F41" s="22">
        <v>56.19</v>
      </c>
      <c r="G41" s="25" t="str" cm="1">
        <f t="array" ref="G41">IF(
  ISNUMBER(DATEVALUE(A41)),
  TEXT(DATEVALUE(A41),"yyyy-mm-dd"),
  IFERROR(
    TEXT(INDEX($A$2:$A$301,MATCH(1,
      ($B$2:$B$301=B41) * ($C$2:$C$301=C41) * ($D$2:$D$301=D41) * ($E$2:$E$301=E41) *
      ($F$2:$F$301=F41),0)),"yyyy-mm-dd"),
    "Perlu Klarifikasi"
  )
)</f>
        <v>2024-01-12</v>
      </c>
    </row>
    <row r="42" spans="1:7" x14ac:dyDescent="0.3">
      <c r="A42" s="25" t="s">
        <v>42</v>
      </c>
      <c r="B42" t="s">
        <v>111</v>
      </c>
      <c r="C42">
        <v>6.63</v>
      </c>
      <c r="D42">
        <v>7.09</v>
      </c>
      <c r="E42">
        <v>18</v>
      </c>
      <c r="F42">
        <v>55.57</v>
      </c>
      <c r="G42" s="25" t="str" cm="1">
        <f t="array" ref="G42">IF(
  ISNUMBER(DATEVALUE(A42)),
  TEXT(DATEVALUE(A42),"yyyy-mm-dd"),
  IFERROR(
    TEXT(INDEX($A$2:$A$301,MATCH(1,
      ($B$2:$B$301=B42) * ($C$2:$C$301=C42) * ($D$2:$D$301=D42) * ($E$2:$E$301=E42) *
      ($F$2:$F$301=F42),0)),"yyyy-mm-dd"),
    "Perlu Klarifikasi"
  )
)</f>
        <v>2024-01-14</v>
      </c>
    </row>
    <row r="43" spans="1:7" x14ac:dyDescent="0.3">
      <c r="A43" s="25" t="s">
        <v>70</v>
      </c>
      <c r="B43" t="s">
        <v>111</v>
      </c>
      <c r="C43">
        <v>2.93</v>
      </c>
      <c r="D43">
        <v>7.68</v>
      </c>
      <c r="E43">
        <v>30</v>
      </c>
      <c r="F43">
        <v>94.86</v>
      </c>
      <c r="G43" s="25" t="str" cm="1">
        <f t="array" ref="G43">IF(
  ISNUMBER(DATEVALUE(A43)),
  TEXT(DATEVALUE(A43),"yyyy-mm-dd"),
  IFERROR(
    TEXT(INDEX($A$2:$A$301,MATCH(1,
      ($B$2:$B$301=B43) * ($C$2:$C$301=C43) * ($D$2:$D$301=D43) * ($E$2:$E$301=E43) *
      ($F$2:$F$301=F43),0)),"yyyy-mm-dd"),
    "Perlu Klarifikasi"
  )
)</f>
        <v>2024-01-16</v>
      </c>
    </row>
    <row r="44" spans="1:7" x14ac:dyDescent="0.3">
      <c r="A44" s="25" t="s">
        <v>70</v>
      </c>
      <c r="B44" t="s">
        <v>111</v>
      </c>
      <c r="C44">
        <v>2.93</v>
      </c>
      <c r="D44">
        <v>7.68</v>
      </c>
      <c r="E44">
        <v>30</v>
      </c>
      <c r="F44">
        <v>94.86</v>
      </c>
      <c r="G44" s="25" t="str" cm="1">
        <f t="array" ref="G44">IF(
  ISNUMBER(DATEVALUE(A44)),
  TEXT(DATEVALUE(A44),"yyyy-mm-dd"),
  IFERROR(
    TEXT(INDEX($A$2:$A$301,MATCH(1,
      ($B$2:$B$301=B44) * ($C$2:$C$301=C44) * ($D$2:$D$301=D44) * ($E$2:$E$301=E44) *
      ($F$2:$F$301=F44),0)),"yyyy-mm-dd"),
    "Perlu Klarifikasi"
  )
)</f>
        <v>2024-01-16</v>
      </c>
    </row>
    <row r="45" spans="1:7" x14ac:dyDescent="0.3">
      <c r="A45" s="25" t="s">
        <v>70</v>
      </c>
      <c r="B45" t="s">
        <v>115</v>
      </c>
      <c r="C45">
        <v>7.15</v>
      </c>
      <c r="D45">
        <v>12.13</v>
      </c>
      <c r="E45">
        <v>40</v>
      </c>
      <c r="F45">
        <v>123.03</v>
      </c>
      <c r="G45" s="25" t="str" cm="1">
        <f t="array" ref="G45">IF(
  ISNUMBER(DATEVALUE(A45)),
  TEXT(DATEVALUE(A45),"yyyy-mm-dd"),
  IFERROR(
    TEXT(INDEX($A$2:$A$301,MATCH(1,
      ($B$2:$B$301=B45) * ($C$2:$C$301=C45) * ($D$2:$D$301=D45) * ($E$2:$E$301=E45) *
      ($F$2:$F$301=F45),0)),"yyyy-mm-dd"),
    "Perlu Klarifikasi"
  )
)</f>
        <v>2024-01-16</v>
      </c>
    </row>
    <row r="46" spans="1:7" x14ac:dyDescent="0.3">
      <c r="A46" s="25" t="s">
        <v>70</v>
      </c>
      <c r="B46" t="s">
        <v>113</v>
      </c>
      <c r="C46">
        <v>3.84</v>
      </c>
      <c r="D46">
        <v>11.16</v>
      </c>
      <c r="E46">
        <v>27</v>
      </c>
      <c r="F46">
        <v>64.8</v>
      </c>
      <c r="G46" s="25" t="str" cm="1">
        <f t="array" ref="G46">IF(
  ISNUMBER(DATEVALUE(A46)),
  TEXT(DATEVALUE(A46),"yyyy-mm-dd"),
  IFERROR(
    TEXT(INDEX($A$2:$A$301,MATCH(1,
      ($B$2:$B$301=B46) * ($C$2:$C$301=C46) * ($D$2:$D$301=D46) * ($E$2:$E$301=E46) *
      ($F$2:$F$301=F46),0)),"yyyy-mm-dd"),
    "Perlu Klarifikasi"
  )
)</f>
        <v>2024-01-16</v>
      </c>
    </row>
    <row r="47" spans="1:7" x14ac:dyDescent="0.3">
      <c r="A47" s="25" t="s">
        <v>70</v>
      </c>
      <c r="B47" t="s">
        <v>115</v>
      </c>
      <c r="C47">
        <v>7.15</v>
      </c>
      <c r="D47">
        <v>12.13</v>
      </c>
      <c r="E47">
        <v>40</v>
      </c>
      <c r="F47">
        <v>123.03</v>
      </c>
      <c r="G47" s="25" t="str" cm="1">
        <f t="array" ref="G47">IF(
  ISNUMBER(DATEVALUE(A47)),
  TEXT(DATEVALUE(A47),"yyyy-mm-dd"),
  IFERROR(
    TEXT(INDEX($A$2:$A$301,MATCH(1,
      ($B$2:$B$301=B47) * ($C$2:$C$301=C47) * ($D$2:$D$301=D47) * ($E$2:$E$301=E47) *
      ($F$2:$F$301=F47),0)),"yyyy-mm-dd"),
    "Perlu Klarifikasi"
  )
)</f>
        <v>2024-01-16</v>
      </c>
    </row>
    <row r="48" spans="1:7" x14ac:dyDescent="0.3">
      <c r="A48" s="25" t="s">
        <v>70</v>
      </c>
      <c r="B48" t="s">
        <v>111</v>
      </c>
      <c r="C48">
        <v>2.93</v>
      </c>
      <c r="D48">
        <v>7.68</v>
      </c>
      <c r="E48">
        <v>30</v>
      </c>
      <c r="F48">
        <v>94.86</v>
      </c>
      <c r="G48" s="25" t="str" cm="1">
        <f t="array" ref="G48">IF(
  ISNUMBER(DATEVALUE(A48)),
  TEXT(DATEVALUE(A48),"yyyy-mm-dd"),
  IFERROR(
    TEXT(INDEX($A$2:$A$301,MATCH(1,
      ($B$2:$B$301=B48) * ($C$2:$C$301=C48) * ($D$2:$D$301=D48) * ($E$2:$E$301=E48) *
      ($F$2:$F$301=F48),0)),"yyyy-mm-dd"),
    "Perlu Klarifikasi"
  )
)</f>
        <v>2024-01-16</v>
      </c>
    </row>
    <row r="49" spans="1:7" x14ac:dyDescent="0.3">
      <c r="A49" s="25" t="s">
        <v>70</v>
      </c>
      <c r="B49" t="s">
        <v>113</v>
      </c>
      <c r="C49">
        <v>3.84</v>
      </c>
      <c r="D49">
        <v>11.16</v>
      </c>
      <c r="E49">
        <v>27</v>
      </c>
      <c r="F49">
        <v>64.8</v>
      </c>
      <c r="G49" s="25" t="str" cm="1">
        <f t="array" ref="G49">IF(
  ISNUMBER(DATEVALUE(A49)),
  TEXT(DATEVALUE(A49),"yyyy-mm-dd"),
  IFERROR(
    TEXT(INDEX($A$2:$A$301,MATCH(1,
      ($B$2:$B$301=B49) * ($C$2:$C$301=C49) * ($D$2:$D$301=D49) * ($E$2:$E$301=E49) *
      ($F$2:$F$301=F49),0)),"yyyy-mm-dd"),
    "Perlu Klarifikasi"
  )
)</f>
        <v>2024-01-16</v>
      </c>
    </row>
    <row r="50" spans="1:7" x14ac:dyDescent="0.3">
      <c r="A50" s="25" t="s">
        <v>70</v>
      </c>
      <c r="B50" t="s">
        <v>115</v>
      </c>
      <c r="C50">
        <v>7.15</v>
      </c>
      <c r="D50">
        <v>12.13</v>
      </c>
      <c r="E50">
        <v>40</v>
      </c>
      <c r="F50">
        <v>123.03</v>
      </c>
      <c r="G50" s="25" t="str" cm="1">
        <f t="array" ref="G50">IF(
  ISNUMBER(DATEVALUE(A50)),
  TEXT(DATEVALUE(A50),"yyyy-mm-dd"),
  IFERROR(
    TEXT(INDEX($A$2:$A$301,MATCH(1,
      ($B$2:$B$301=B50) * ($C$2:$C$301=C50) * ($D$2:$D$301=D50) * ($E$2:$E$301=E50) *
      ($F$2:$F$301=F50),0)),"yyyy-mm-dd"),
    "Perlu Klarifikasi"
  )
)</f>
        <v>2024-01-16</v>
      </c>
    </row>
    <row r="51" spans="1:7" x14ac:dyDescent="0.3">
      <c r="A51" s="25" t="s">
        <v>57</v>
      </c>
      <c r="B51" t="s">
        <v>113</v>
      </c>
      <c r="C51">
        <v>7.85</v>
      </c>
      <c r="D51">
        <v>9.75</v>
      </c>
      <c r="E51">
        <v>36</v>
      </c>
      <c r="F51">
        <v>81.66</v>
      </c>
      <c r="G51" s="25" t="str" cm="1">
        <f t="array" ref="G51">IF(
  ISNUMBER(DATEVALUE(A51)),
  TEXT(DATEVALUE(A51),"yyyy-mm-dd"),
  IFERROR(
    TEXT(INDEX($A$2:$A$301,MATCH(1,
      ($B$2:$B$301=B51) * ($C$2:$C$301=C51) * ($D$2:$D$301=D51) * ($E$2:$E$301=E51) *
      ($F$2:$F$301=F51),0)),"yyyy-mm-dd"),
    "Perlu Klarifikasi"
  )
)</f>
        <v>2024-01-17</v>
      </c>
    </row>
    <row r="52" spans="1:7" x14ac:dyDescent="0.3">
      <c r="A52" s="25" t="s">
        <v>57</v>
      </c>
      <c r="B52" t="s">
        <v>113</v>
      </c>
      <c r="C52">
        <v>5.0199999999999996</v>
      </c>
      <c r="D52">
        <v>6.06</v>
      </c>
      <c r="E52">
        <v>43</v>
      </c>
      <c r="F52">
        <v>119.57</v>
      </c>
      <c r="G52" s="25" t="str" cm="1">
        <f t="array" ref="G52">IF(
  ISNUMBER(DATEVALUE(A52)),
  TEXT(DATEVALUE(A52),"yyyy-mm-dd"),
  IFERROR(
    TEXT(INDEX($A$2:$A$301,MATCH(1,
      ($B$2:$B$301=B52) * ($C$2:$C$301=C52) * ($D$2:$D$301=D52) * ($E$2:$E$301=E52) *
      ($F$2:$F$301=F52),0)),"yyyy-mm-dd"),
    "Perlu Klarifikasi"
  )
)</f>
        <v>2024-01-17</v>
      </c>
    </row>
    <row r="53" spans="1:7" x14ac:dyDescent="0.3">
      <c r="A53" s="25" t="s">
        <v>57</v>
      </c>
      <c r="B53" t="s">
        <v>113</v>
      </c>
      <c r="C53">
        <v>5.0199999999999996</v>
      </c>
      <c r="D53">
        <v>6.06</v>
      </c>
      <c r="E53">
        <v>43</v>
      </c>
      <c r="F53">
        <v>119.57</v>
      </c>
      <c r="G53" s="25" t="str" cm="1">
        <f t="array" ref="G53">IF(
  ISNUMBER(DATEVALUE(A53)),
  TEXT(DATEVALUE(A53),"yyyy-mm-dd"),
  IFERROR(
    TEXT(INDEX($A$2:$A$301,MATCH(1,
      ($B$2:$B$301=B53) * ($C$2:$C$301=C53) * ($D$2:$D$301=D53) * ($E$2:$E$301=E53) *
      ($F$2:$F$301=F53),0)),"yyyy-mm-dd"),
    "Perlu Klarifikasi"
  )
)</f>
        <v>2024-01-17</v>
      </c>
    </row>
    <row r="54" spans="1:7" x14ac:dyDescent="0.3">
      <c r="A54" s="25" t="s">
        <v>57</v>
      </c>
      <c r="B54" t="s">
        <v>113</v>
      </c>
      <c r="C54">
        <v>7.85</v>
      </c>
      <c r="D54">
        <v>9.75</v>
      </c>
      <c r="E54">
        <v>36</v>
      </c>
      <c r="F54" s="22">
        <f>F58</f>
        <v>81.66</v>
      </c>
      <c r="G54" s="25" t="str" cm="1">
        <f t="array" ref="G54">IF(
  ISNUMBER(DATEVALUE(A54)),
  TEXT(DATEVALUE(A54),"yyyy-mm-dd"),
  IFERROR(
    TEXT(INDEX($A$2:$A$301,MATCH(1,
      ($B$2:$B$301=B54) * ($C$2:$C$301=C54) * ($D$2:$D$301=D54) * ($E$2:$E$301=E54) *
      ($F$2:$F$301=F54),0)),"yyyy-mm-dd"),
    "Perlu Klarifikasi"
  )
)</f>
        <v>2024-01-17</v>
      </c>
    </row>
    <row r="55" spans="1:7" x14ac:dyDescent="0.3">
      <c r="A55" s="25" t="s">
        <v>57</v>
      </c>
      <c r="B55" t="s">
        <v>111</v>
      </c>
      <c r="C55">
        <v>4.3600000000000003</v>
      </c>
      <c r="D55">
        <v>11.31</v>
      </c>
      <c r="E55">
        <v>29</v>
      </c>
      <c r="F55">
        <v>56.56</v>
      </c>
      <c r="G55" s="25" t="str" cm="1">
        <f t="array" ref="G55">IF(
  ISNUMBER(DATEVALUE(A55)),
  TEXT(DATEVALUE(A55),"yyyy-mm-dd"),
  IFERROR(
    TEXT(INDEX($A$2:$A$301,MATCH(1,
      ($B$2:$B$301=B55) * ($C$2:$C$301=C55) * ($D$2:$D$301=D55) * ($E$2:$E$301=E55) *
      ($F$2:$F$301=F55),0)),"yyyy-mm-dd"),
    "Perlu Klarifikasi"
  )
)</f>
        <v>2024-01-17</v>
      </c>
    </row>
    <row r="56" spans="1:7" x14ac:dyDescent="0.3">
      <c r="A56" s="25" t="s">
        <v>57</v>
      </c>
      <c r="B56" t="s">
        <v>113</v>
      </c>
      <c r="C56">
        <v>7.85</v>
      </c>
      <c r="D56">
        <v>9.75</v>
      </c>
      <c r="E56">
        <v>36</v>
      </c>
      <c r="F56">
        <v>81.66</v>
      </c>
      <c r="G56" s="25" t="str" cm="1">
        <f t="array" ref="G56">IF(
  ISNUMBER(DATEVALUE(A56)),
  TEXT(DATEVALUE(A56),"yyyy-mm-dd"),
  IFERROR(
    TEXT(INDEX($A$2:$A$301,MATCH(1,
      ($B$2:$B$301=B56) * ($C$2:$C$301=C56) * ($D$2:$D$301=D56) * ($E$2:$E$301=E56) *
      ($F$2:$F$301=F56),0)),"yyyy-mm-dd"),
    "Perlu Klarifikasi"
  )
)</f>
        <v>2024-01-17</v>
      </c>
    </row>
    <row r="57" spans="1:7" x14ac:dyDescent="0.3">
      <c r="A57" s="25" t="s">
        <v>57</v>
      </c>
      <c r="B57" t="s">
        <v>113</v>
      </c>
      <c r="C57">
        <v>5.0199999999999996</v>
      </c>
      <c r="D57">
        <v>6.06</v>
      </c>
      <c r="E57">
        <v>43</v>
      </c>
      <c r="F57">
        <v>119.57</v>
      </c>
      <c r="G57" s="25" t="str" cm="1">
        <f t="array" ref="G57">IF(
  ISNUMBER(DATEVALUE(A57)),
  TEXT(DATEVALUE(A57),"yyyy-mm-dd"),
  IFERROR(
    TEXT(INDEX($A$2:$A$301,MATCH(1,
      ($B$2:$B$301=B57) * ($C$2:$C$301=C57) * ($D$2:$D$301=D57) * ($E$2:$E$301=E57) *
      ($F$2:$F$301=F57),0)),"yyyy-mm-dd"),
    "Perlu Klarifikasi"
  )
)</f>
        <v>2024-01-17</v>
      </c>
    </row>
    <row r="58" spans="1:7" x14ac:dyDescent="0.3">
      <c r="A58" s="25" t="s">
        <v>57</v>
      </c>
      <c r="B58" t="s">
        <v>113</v>
      </c>
      <c r="C58">
        <v>7.85</v>
      </c>
      <c r="D58">
        <v>9.75</v>
      </c>
      <c r="E58">
        <v>36</v>
      </c>
      <c r="F58">
        <v>81.66</v>
      </c>
      <c r="G58" s="25" t="str" cm="1">
        <f t="array" ref="G58">IF(
  ISNUMBER(DATEVALUE(A58)),
  TEXT(DATEVALUE(A58),"yyyy-mm-dd"),
  IFERROR(
    TEXT(INDEX($A$2:$A$301,MATCH(1,
      ($B$2:$B$301=B58) * ($C$2:$C$301=C58) * ($D$2:$D$301=D58) * ($E$2:$E$301=E58) *
      ($F$2:$F$301=F58),0)),"yyyy-mm-dd"),
    "Perlu Klarifikasi"
  )
)</f>
        <v>2024-01-17</v>
      </c>
    </row>
    <row r="59" spans="1:7" x14ac:dyDescent="0.3">
      <c r="A59" s="25" t="s">
        <v>80</v>
      </c>
      <c r="B59" t="s">
        <v>113</v>
      </c>
      <c r="C59">
        <v>2.96</v>
      </c>
      <c r="D59">
        <v>6.6</v>
      </c>
      <c r="E59">
        <v>30</v>
      </c>
      <c r="F59">
        <v>73.319999999999993</v>
      </c>
      <c r="G59" s="25" t="str" cm="1">
        <f t="array" ref="G59">IF(
  ISNUMBER(DATEVALUE(A59)),
  TEXT(DATEVALUE(A59),"yyyy-mm-dd"),
  IFERROR(
    TEXT(INDEX($A$2:$A$301,MATCH(1,
      ($B$2:$B$301=B59) * ($C$2:$C$301=C59) * ($D$2:$D$301=D59) * ($E$2:$E$301=E59) *
      ($F$2:$F$301=F59),0)),"yyyy-mm-dd"),
    "Perlu Klarifikasi"
  )
)</f>
        <v>2024-01-18</v>
      </c>
    </row>
    <row r="60" spans="1:7" x14ac:dyDescent="0.3">
      <c r="A60" s="25" t="s">
        <v>80</v>
      </c>
      <c r="B60" t="s">
        <v>113</v>
      </c>
      <c r="C60">
        <v>2.96</v>
      </c>
      <c r="D60">
        <v>6.6</v>
      </c>
      <c r="E60">
        <v>30</v>
      </c>
      <c r="F60">
        <v>73.319999999999993</v>
      </c>
      <c r="G60" s="25" t="str" cm="1">
        <f t="array" ref="G60">IF(
  ISNUMBER(DATEVALUE(A60)),
  TEXT(DATEVALUE(A60),"yyyy-mm-dd"),
  IFERROR(
    TEXT(INDEX($A$2:$A$301,MATCH(1,
      ($B$2:$B$301=B60) * ($C$2:$C$301=C60) * ($D$2:$D$301=D60) * ($E$2:$E$301=E60) *
      ($F$2:$F$301=F60),0)),"yyyy-mm-dd"),
    "Perlu Klarifikasi"
  )
)</f>
        <v>2024-01-18</v>
      </c>
    </row>
    <row r="61" spans="1:7" x14ac:dyDescent="0.3">
      <c r="A61" s="25" t="s">
        <v>80</v>
      </c>
      <c r="B61" t="s">
        <v>113</v>
      </c>
      <c r="C61">
        <v>2.96</v>
      </c>
      <c r="D61">
        <v>6.6</v>
      </c>
      <c r="E61">
        <v>30</v>
      </c>
      <c r="F61">
        <v>73.319999999999993</v>
      </c>
      <c r="G61" s="25" t="str" cm="1">
        <f t="array" ref="G61">IF(
  ISNUMBER(DATEVALUE(A61)),
  TEXT(DATEVALUE(A61),"yyyy-mm-dd"),
  IFERROR(
    TEXT(INDEX($A$2:$A$301,MATCH(1,
      ($B$2:$B$301=B61) * ($C$2:$C$301=C61) * ($D$2:$D$301=D61) * ($E$2:$E$301=E61) *
      ($F$2:$F$301=F61),0)),"yyyy-mm-dd"),
    "Perlu Klarifikasi"
  )
)</f>
        <v>2024-01-18</v>
      </c>
    </row>
    <row r="62" spans="1:7" x14ac:dyDescent="0.3">
      <c r="A62" s="25" t="s">
        <v>80</v>
      </c>
      <c r="B62" t="s">
        <v>113</v>
      </c>
      <c r="C62">
        <v>2.96</v>
      </c>
      <c r="D62">
        <v>6.6</v>
      </c>
      <c r="E62">
        <v>30</v>
      </c>
      <c r="F62">
        <v>73.319999999999993</v>
      </c>
      <c r="G62" s="25" t="str" cm="1">
        <f t="array" ref="G62">IF(
  ISNUMBER(DATEVALUE(A62)),
  TEXT(DATEVALUE(A62),"yyyy-mm-dd"),
  IFERROR(
    TEXT(INDEX($A$2:$A$301,MATCH(1,
      ($B$2:$B$301=B62) * ($C$2:$C$301=C62) * ($D$2:$D$301=D62) * ($E$2:$E$301=E62) *
      ($F$2:$F$301=F62),0)),"yyyy-mm-dd"),
    "Perlu Klarifikasi"
  )
)</f>
        <v>2024-01-18</v>
      </c>
    </row>
    <row r="63" spans="1:7" x14ac:dyDescent="0.3">
      <c r="A63" s="25" t="s">
        <v>80</v>
      </c>
      <c r="B63" t="s">
        <v>113</v>
      </c>
      <c r="C63">
        <v>2.96</v>
      </c>
      <c r="D63">
        <v>6.6</v>
      </c>
      <c r="E63">
        <v>30</v>
      </c>
      <c r="F63">
        <v>73.319999999999993</v>
      </c>
      <c r="G63" s="25" t="str" cm="1">
        <f t="array" ref="G63">IF(
  ISNUMBER(DATEVALUE(A63)),
  TEXT(DATEVALUE(A63),"yyyy-mm-dd"),
  IFERROR(
    TEXT(INDEX($A$2:$A$301,MATCH(1,
      ($B$2:$B$301=B63) * ($C$2:$C$301=C63) * ($D$2:$D$301=D63) * ($E$2:$E$301=E63) *
      ($F$2:$F$301=F63),0)),"yyyy-mm-dd"),
    "Perlu Klarifikasi"
  )
)</f>
        <v>2024-01-18</v>
      </c>
    </row>
    <row r="64" spans="1:7" x14ac:dyDescent="0.3">
      <c r="A64" s="25" t="s">
        <v>80</v>
      </c>
      <c r="B64" t="s">
        <v>113</v>
      </c>
      <c r="C64">
        <v>2.96</v>
      </c>
      <c r="D64">
        <v>6.6</v>
      </c>
      <c r="E64">
        <v>30</v>
      </c>
      <c r="F64">
        <v>73.319999999999993</v>
      </c>
      <c r="G64" s="25" t="str" cm="1">
        <f t="array" ref="G64">IF(
  ISNUMBER(DATEVALUE(A64)),
  TEXT(DATEVALUE(A64),"yyyy-mm-dd"),
  IFERROR(
    TEXT(INDEX($A$2:$A$301,MATCH(1,
      ($B$2:$B$301=B64) * ($C$2:$C$301=C64) * ($D$2:$D$301=D64) * ($E$2:$E$301=E64) *
      ($F$2:$F$301=F64),0)),"yyyy-mm-dd"),
    "Perlu Klarifikasi"
  )
)</f>
        <v>2024-01-18</v>
      </c>
    </row>
    <row r="65" spans="1:7" x14ac:dyDescent="0.3">
      <c r="A65" s="25" t="s">
        <v>80</v>
      </c>
      <c r="B65" t="s">
        <v>113</v>
      </c>
      <c r="C65">
        <v>2.96</v>
      </c>
      <c r="D65">
        <v>6.6</v>
      </c>
      <c r="E65">
        <v>30</v>
      </c>
      <c r="F65">
        <v>73.319999999999993</v>
      </c>
      <c r="G65" s="25" t="str" cm="1">
        <f t="array" ref="G65">IF(
  ISNUMBER(DATEVALUE(A65)),
  TEXT(DATEVALUE(A65),"yyyy-mm-dd"),
  IFERROR(
    TEXT(INDEX($A$2:$A$301,MATCH(1,
      ($B$2:$B$301=B65) * ($C$2:$C$301=C65) * ($D$2:$D$301=D65) * ($E$2:$E$301=E65) *
      ($F$2:$F$301=F65),0)),"yyyy-mm-dd"),
    "Perlu Klarifikasi"
  )
)</f>
        <v>2024-01-18</v>
      </c>
    </row>
    <row r="66" spans="1:7" x14ac:dyDescent="0.3">
      <c r="A66" s="25" t="s">
        <v>95</v>
      </c>
      <c r="B66" t="s">
        <v>109</v>
      </c>
      <c r="C66">
        <v>5.33</v>
      </c>
      <c r="D66">
        <v>7.31</v>
      </c>
      <c r="E66">
        <v>8</v>
      </c>
      <c r="F66">
        <v>15.8</v>
      </c>
      <c r="G66" s="25" t="str" cm="1">
        <f t="array" ref="G66">IF(
  ISNUMBER(DATEVALUE(A66)),
  TEXT(DATEVALUE(A66),"yyyy-mm-dd"),
  IFERROR(
    TEXT(INDEX($A$2:$A$301,MATCH(1,
      ($B$2:$B$301=B66) * ($C$2:$C$301=C66) * ($D$2:$D$301=D66) * ($E$2:$E$301=E66) *
      ($F$2:$F$301=F66),0)),"yyyy-mm-dd"),
    "Perlu Klarifikasi"
  )
)</f>
        <v>2024-01-20</v>
      </c>
    </row>
    <row r="67" spans="1:7" x14ac:dyDescent="0.3">
      <c r="A67" s="25" t="s">
        <v>95</v>
      </c>
      <c r="B67" t="s">
        <v>113</v>
      </c>
      <c r="C67">
        <v>4.38</v>
      </c>
      <c r="D67">
        <v>11.49</v>
      </c>
      <c r="E67">
        <v>27</v>
      </c>
      <c r="F67">
        <v>79.290000000000006</v>
      </c>
      <c r="G67" s="25" t="str" cm="1">
        <f t="array" ref="G67">IF(
  ISNUMBER(DATEVALUE(A67)),
  TEXT(DATEVALUE(A67),"yyyy-mm-dd"),
  IFERROR(
    TEXT(INDEX($A$2:$A$301,MATCH(1,
      ($B$2:$B$301=B67) * ($C$2:$C$301=C67) * ($D$2:$D$301=D67) * ($E$2:$E$301=E67) *
      ($F$2:$F$301=F67),0)),"yyyy-mm-dd"),
    "Perlu Klarifikasi"
  )
)</f>
        <v>2024-01-20</v>
      </c>
    </row>
    <row r="68" spans="1:7" x14ac:dyDescent="0.3">
      <c r="A68" s="25" t="s">
        <v>95</v>
      </c>
      <c r="B68" t="s">
        <v>113</v>
      </c>
      <c r="C68">
        <v>4.38</v>
      </c>
      <c r="D68">
        <v>11.49</v>
      </c>
      <c r="E68">
        <v>27</v>
      </c>
      <c r="F68">
        <v>79.290000000000006</v>
      </c>
      <c r="G68" s="25" t="str" cm="1">
        <f t="array" ref="G68">IF(
  ISNUMBER(DATEVALUE(A68)),
  TEXT(DATEVALUE(A68),"yyyy-mm-dd"),
  IFERROR(
    TEXT(INDEX($A$2:$A$301,MATCH(1,
      ($B$2:$B$301=B68) * ($C$2:$C$301=C68) * ($D$2:$D$301=D68) * ($E$2:$E$301=E68) *
      ($F$2:$F$301=F68),0)),"yyyy-mm-dd"),
    "Perlu Klarifikasi"
  )
)</f>
        <v>2024-01-20</v>
      </c>
    </row>
    <row r="69" spans="1:7" x14ac:dyDescent="0.3">
      <c r="A69" s="25" t="s">
        <v>119</v>
      </c>
      <c r="B69" t="s">
        <v>113</v>
      </c>
      <c r="C69">
        <v>3.38</v>
      </c>
      <c r="D69">
        <v>8.4700000000000006</v>
      </c>
      <c r="E69">
        <v>17</v>
      </c>
      <c r="F69">
        <v>44.31</v>
      </c>
      <c r="G69" s="25" t="str" cm="1">
        <f t="array" ref="G69">IF(
  ISNUMBER(DATEVALUE(A69)),
  TEXT(DATEVALUE(A69),"yyyy-mm-dd"),
  IFERROR(
    TEXT(INDEX($A$2:$A$301,MATCH(1,
      ($B$2:$B$301=B69) * ($C$2:$C$301=C69) * ($D$2:$D$301=D69) * ($E$2:$E$301=E69) *
      ($F$2:$F$301=F69),0)),"yyyy-mm-dd"),
    "Perlu Klarifikasi"
  )
)</f>
        <v>2024-01-21</v>
      </c>
    </row>
    <row r="70" spans="1:7" x14ac:dyDescent="0.3">
      <c r="A70" s="25" t="s">
        <v>119</v>
      </c>
      <c r="B70" t="s">
        <v>115</v>
      </c>
      <c r="C70">
        <v>5.24</v>
      </c>
      <c r="D70">
        <v>9.4600000000000009</v>
      </c>
      <c r="E70">
        <v>18</v>
      </c>
      <c r="F70">
        <v>51.6</v>
      </c>
      <c r="G70" s="25" t="str" cm="1">
        <f t="array" ref="G70">IF(
  ISNUMBER(DATEVALUE(A70)),
  TEXT(DATEVALUE(A70),"yyyy-mm-dd"),
  IFERROR(
    TEXT(INDEX($A$2:$A$301,MATCH(1,
      ($B$2:$B$301=B70) * ($C$2:$C$301=C70) * ($D$2:$D$301=D70) * ($E$2:$E$301=E70) *
      ($F$2:$F$301=F70),0)),"yyyy-mm-dd"),
    "Perlu Klarifikasi"
  )
)</f>
        <v>2024-01-21</v>
      </c>
    </row>
    <row r="71" spans="1:7" x14ac:dyDescent="0.3">
      <c r="A71" s="25" t="s">
        <v>119</v>
      </c>
      <c r="B71" t="s">
        <v>115</v>
      </c>
      <c r="C71">
        <v>5.24</v>
      </c>
      <c r="D71">
        <v>9.4600000000000009</v>
      </c>
      <c r="E71">
        <v>18</v>
      </c>
      <c r="F71">
        <v>51.6</v>
      </c>
      <c r="G71" s="25" t="str" cm="1">
        <f t="array" ref="G71">IF(
  ISNUMBER(DATEVALUE(A71)),
  TEXT(DATEVALUE(A71),"yyyy-mm-dd"),
  IFERROR(
    TEXT(INDEX($A$2:$A$301,MATCH(1,
      ($B$2:$B$301=B71) * ($C$2:$C$301=C71) * ($D$2:$D$301=D71) * ($E$2:$E$301=E71) *
      ($F$2:$F$301=F71),0)),"yyyy-mm-dd"),
    "Perlu Klarifikasi"
  )
)</f>
        <v>2024-01-21</v>
      </c>
    </row>
    <row r="72" spans="1:7" x14ac:dyDescent="0.3">
      <c r="A72" s="25" t="s">
        <v>119</v>
      </c>
      <c r="B72" t="s">
        <v>113</v>
      </c>
      <c r="C72">
        <v>3.38</v>
      </c>
      <c r="D72" s="22">
        <f>D69</f>
        <v>8.4700000000000006</v>
      </c>
      <c r="E72">
        <v>17</v>
      </c>
      <c r="F72">
        <v>44.31</v>
      </c>
      <c r="G72" s="25" t="str" cm="1">
        <f t="array" ref="G72">IF(
  ISNUMBER(DATEVALUE(A72)),
  TEXT(DATEVALUE(A72),"yyyy-mm-dd"),
  IFERROR(
    TEXT(INDEX($A$2:$A$301,MATCH(1,
      ($B$2:$B$301=B72) * ($C$2:$C$301=C72) * ($D$2:$D$301=D72) * ($E$2:$E$301=E72) *
      ($F$2:$F$301=F72),0)),"yyyy-mm-dd"),
    "Perlu Klarifikasi"
  )
)</f>
        <v>2024-01-21</v>
      </c>
    </row>
    <row r="73" spans="1:7" x14ac:dyDescent="0.3">
      <c r="A73" s="25" t="s">
        <v>126</v>
      </c>
      <c r="B73" t="s">
        <v>109</v>
      </c>
      <c r="C73">
        <v>5.94</v>
      </c>
      <c r="D73">
        <v>8.99</v>
      </c>
      <c r="E73">
        <v>9</v>
      </c>
      <c r="F73">
        <v>21.06</v>
      </c>
      <c r="G73" s="25" t="str" cm="1">
        <f t="array" ref="G73">IF(
  ISNUMBER(DATEVALUE(A73)),
  TEXT(DATEVALUE(A73),"yyyy-mm-dd"),
  IFERROR(
    TEXT(INDEX($A$2:$A$301,MATCH(1,
      ($B$2:$B$301=B73) * ($C$2:$C$301=C73) * ($D$2:$D$301=D73) * ($E$2:$E$301=E73) *
      ($F$2:$F$301=F73),0)),"yyyy-mm-dd"),
    "Perlu Klarifikasi"
  )
)</f>
        <v>2024-01-23</v>
      </c>
    </row>
    <row r="74" spans="1:7" x14ac:dyDescent="0.3">
      <c r="A74" s="25" t="s">
        <v>126</v>
      </c>
      <c r="B74" t="s">
        <v>108</v>
      </c>
      <c r="C74">
        <v>6.05</v>
      </c>
      <c r="D74">
        <v>7.19</v>
      </c>
      <c r="E74">
        <v>19</v>
      </c>
      <c r="F74">
        <v>58.83</v>
      </c>
      <c r="G74" s="25" t="str" cm="1">
        <f t="array" ref="G74">IF(
  ISNUMBER(DATEVALUE(A74)),
  TEXT(DATEVALUE(A74),"yyyy-mm-dd"),
  IFERROR(
    TEXT(INDEX($A$2:$A$301,MATCH(1,
      ($B$2:$B$301=B74) * ($C$2:$C$301=C74) * ($D$2:$D$301=D74) * ($E$2:$E$301=E74) *
      ($F$2:$F$301=F74),0)),"yyyy-mm-dd"),
    "Perlu Klarifikasi"
  )
)</f>
        <v>2024-01-23</v>
      </c>
    </row>
    <row r="75" spans="1:7" x14ac:dyDescent="0.3">
      <c r="A75" s="25" t="s">
        <v>126</v>
      </c>
      <c r="B75" s="22" t="str" cm="1">
        <f t="array" ref="B75">IF(
  Hauling!B74&lt;&gt;"",
  Hauling!B74,
  IFERROR(
    INDEX($B$2:$B$301, MATCH(1,
      ($C$2:$C$301=Hauling!C74) * ($D$2:$D$301=Hauling!D74) * ($E$2:$E$301=Hauling!E74) * ($F$2:$F$301=Hauling!F74),
      0)),
    "Perlu Klarifikasi")
)</f>
        <v>DT05</v>
      </c>
      <c r="C75">
        <v>5.94</v>
      </c>
      <c r="D75">
        <v>8.99</v>
      </c>
      <c r="E75">
        <v>9</v>
      </c>
      <c r="F75">
        <v>21.06</v>
      </c>
      <c r="G75" s="25" t="str" cm="1">
        <f t="array" ref="G75">IF(
  ISNUMBER(DATEVALUE(A75)),
  TEXT(DATEVALUE(A75),"yyyy-mm-dd"),
  IFERROR(
    TEXT(INDEX($A$2:$A$301,MATCH(1,
      ($B$2:$B$301=B75) * ($C$2:$C$301=C75) * ($D$2:$D$301=D75) * ($E$2:$E$301=E75) *
      ($F$2:$F$301=F75),0)),"yyyy-mm-dd"),
    "Perlu Klarifikasi"
  )
)</f>
        <v>2024-01-23</v>
      </c>
    </row>
    <row r="76" spans="1:7" x14ac:dyDescent="0.3">
      <c r="A76" s="25" t="s">
        <v>126</v>
      </c>
      <c r="B76" t="s">
        <v>108</v>
      </c>
      <c r="C76">
        <v>6.05</v>
      </c>
      <c r="D76">
        <v>7.19</v>
      </c>
      <c r="E76">
        <v>19</v>
      </c>
      <c r="F76">
        <v>58.83</v>
      </c>
      <c r="G76" s="25" t="str" cm="1">
        <f t="array" ref="G76">IF(
  ISNUMBER(DATEVALUE(A76)),
  TEXT(DATEVALUE(A76),"yyyy-mm-dd"),
  IFERROR(
    TEXT(INDEX($A$2:$A$301,MATCH(1,
      ($B$2:$B$301=B76) * ($C$2:$C$301=C76) * ($D$2:$D$301=D76) * ($E$2:$E$301=E76) *
      ($F$2:$F$301=F76),0)),"yyyy-mm-dd"),
    "Perlu Klarifikasi"
  )
)</f>
        <v>2024-01-23</v>
      </c>
    </row>
    <row r="77" spans="1:7" x14ac:dyDescent="0.3">
      <c r="A77" s="25" t="s">
        <v>40</v>
      </c>
      <c r="B77" t="s">
        <v>115</v>
      </c>
      <c r="C77">
        <v>7.97</v>
      </c>
      <c r="D77">
        <v>7.52</v>
      </c>
      <c r="E77">
        <v>23</v>
      </c>
      <c r="F77">
        <v>54.97</v>
      </c>
      <c r="G77" s="25" t="str" cm="1">
        <f t="array" ref="G77">IF(
  ISNUMBER(DATEVALUE(A77)),
  TEXT(DATEVALUE(A77),"yyyy-mm-dd"),
  IFERROR(
    TEXT(INDEX($A$2:$A$301,MATCH(1,
      ($B$2:$B$301=B77) * ($C$2:$C$301=C77) * ($D$2:$D$301=D77) * ($E$2:$E$301=E77) *
      ($F$2:$F$301=F77),0)),"yyyy-mm-dd"),
    "Perlu Klarifikasi"
  )
)</f>
        <v>2024-01-24</v>
      </c>
    </row>
    <row r="78" spans="1:7" x14ac:dyDescent="0.3">
      <c r="A78" s="25" t="s">
        <v>40</v>
      </c>
      <c r="B78" t="s">
        <v>111</v>
      </c>
      <c r="C78">
        <v>2.09</v>
      </c>
      <c r="D78">
        <v>10.220000000000001</v>
      </c>
      <c r="E78">
        <v>40</v>
      </c>
      <c r="F78">
        <v>118.19</v>
      </c>
      <c r="G78" s="25" t="str" cm="1">
        <f t="array" ref="G78">IF(
  ISNUMBER(DATEVALUE(A78)),
  TEXT(DATEVALUE(A78),"yyyy-mm-dd"),
  IFERROR(
    TEXT(INDEX($A$2:$A$301,MATCH(1,
      ($B$2:$B$301=B78) * ($C$2:$C$301=C78) * ($D$2:$D$301=D78) * ($E$2:$E$301=E78) *
      ($F$2:$F$301=F78),0)),"yyyy-mm-dd"),
    "Perlu Klarifikasi"
  )
)</f>
        <v>2024-01-24</v>
      </c>
    </row>
    <row r="79" spans="1:7" x14ac:dyDescent="0.3">
      <c r="A79" s="25" t="s">
        <v>40</v>
      </c>
      <c r="B79" t="s">
        <v>111</v>
      </c>
      <c r="C79">
        <v>2.09</v>
      </c>
      <c r="D79">
        <v>10.220000000000001</v>
      </c>
      <c r="E79">
        <v>40</v>
      </c>
      <c r="F79">
        <v>118.19</v>
      </c>
      <c r="G79" s="25" t="str" cm="1">
        <f t="array" ref="G79">IF(
  ISNUMBER(DATEVALUE(A79)),
  TEXT(DATEVALUE(A79),"yyyy-mm-dd"),
  IFERROR(
    TEXT(INDEX($A$2:$A$301,MATCH(1,
      ($B$2:$B$301=B79) * ($C$2:$C$301=C79) * ($D$2:$D$301=D79) * ($E$2:$E$301=E79) *
      ($F$2:$F$301=F79),0)),"yyyy-mm-dd"),
    "Perlu Klarifikasi"
  )
)</f>
        <v>2024-01-24</v>
      </c>
    </row>
    <row r="80" spans="1:7" x14ac:dyDescent="0.3">
      <c r="A80" s="25" t="s">
        <v>40</v>
      </c>
      <c r="B80" t="s">
        <v>115</v>
      </c>
      <c r="C80">
        <v>7.97</v>
      </c>
      <c r="D80">
        <v>7.52</v>
      </c>
      <c r="E80">
        <v>23</v>
      </c>
      <c r="F80">
        <v>54.97</v>
      </c>
      <c r="G80" s="25" t="str" cm="1">
        <f t="array" ref="G80">IF(
  ISNUMBER(DATEVALUE(A80)),
  TEXT(DATEVALUE(A80),"yyyy-mm-dd"),
  IFERROR(
    TEXT(INDEX($A$2:$A$301,MATCH(1,
      ($B$2:$B$301=B80) * ($C$2:$C$301=C80) * ($D$2:$D$301=D80) * ($E$2:$E$301=E80) *
      ($F$2:$F$301=F80),0)),"yyyy-mm-dd"),
    "Perlu Klarifikasi"
  )
)</f>
        <v>2024-01-24</v>
      </c>
    </row>
    <row r="81" spans="1:7" x14ac:dyDescent="0.3">
      <c r="A81" s="25" t="s">
        <v>40</v>
      </c>
      <c r="B81" t="s">
        <v>115</v>
      </c>
      <c r="C81">
        <v>7.97</v>
      </c>
      <c r="D81">
        <v>7.52</v>
      </c>
      <c r="E81">
        <v>23</v>
      </c>
      <c r="F81">
        <v>54.97</v>
      </c>
      <c r="G81" s="25" t="str" cm="1">
        <f t="array" ref="G81">IF(
  ISNUMBER(DATEVALUE(A81)),
  TEXT(DATEVALUE(A81),"yyyy-mm-dd"),
  IFERROR(
    TEXT(INDEX($A$2:$A$301,MATCH(1,
      ($B$2:$B$301=B81) * ($C$2:$C$301=C81) * ($D$2:$D$301=D81) * ($E$2:$E$301=E81) *
      ($F$2:$F$301=F81),0)),"yyyy-mm-dd"),
    "Perlu Klarifikasi"
  )
)</f>
        <v>2024-01-24</v>
      </c>
    </row>
    <row r="82" spans="1:7" x14ac:dyDescent="0.3">
      <c r="A82" s="25" t="s">
        <v>72</v>
      </c>
      <c r="B82" t="s">
        <v>115</v>
      </c>
      <c r="C82">
        <v>4.4800000000000004</v>
      </c>
      <c r="D82">
        <v>10.119999999999999</v>
      </c>
      <c r="E82">
        <v>37</v>
      </c>
      <c r="F82">
        <v>94.68</v>
      </c>
      <c r="G82" s="25" t="str" cm="1">
        <f t="array" ref="G82">IF(
  ISNUMBER(DATEVALUE(A82)),
  TEXT(DATEVALUE(A82),"yyyy-mm-dd"),
  IFERROR(
    TEXT(INDEX($A$2:$A$301,MATCH(1,
      ($B$2:$B$301=B82) * ($C$2:$C$301=C82) * ($D$2:$D$301=D82) * ($E$2:$E$301=E82) *
      ($F$2:$F$301=F82),0)),"yyyy-mm-dd"),
    "Perlu Klarifikasi"
  )
)</f>
        <v>2024-01-25</v>
      </c>
    </row>
    <row r="83" spans="1:7" x14ac:dyDescent="0.3">
      <c r="A83" s="25" t="s">
        <v>72</v>
      </c>
      <c r="B83" t="s">
        <v>111</v>
      </c>
      <c r="C83">
        <v>4.8899999999999997</v>
      </c>
      <c r="D83">
        <v>14.96</v>
      </c>
      <c r="E83">
        <v>41</v>
      </c>
      <c r="F83">
        <v>137.61000000000001</v>
      </c>
      <c r="G83" s="25" t="str" cm="1">
        <f t="array" ref="G83">IF(
  ISNUMBER(DATEVALUE(A83)),
  TEXT(DATEVALUE(A83),"yyyy-mm-dd"),
  IFERROR(
    TEXT(INDEX($A$2:$A$301,MATCH(1,
      ($B$2:$B$301=B83) * ($C$2:$C$301=C83) * ($D$2:$D$301=D83) * ($E$2:$E$301=E83) *
      ($F$2:$F$301=F83),0)),"yyyy-mm-dd"),
    "Perlu Klarifikasi"
  )
)</f>
        <v>2024-01-25</v>
      </c>
    </row>
    <row r="84" spans="1:7" x14ac:dyDescent="0.3">
      <c r="A84" s="25" t="s">
        <v>72</v>
      </c>
      <c r="B84" t="s">
        <v>111</v>
      </c>
      <c r="C84">
        <v>4.8899999999999997</v>
      </c>
      <c r="D84">
        <v>14.96</v>
      </c>
      <c r="E84">
        <v>41</v>
      </c>
      <c r="F84">
        <v>137.61000000000001</v>
      </c>
      <c r="G84" s="25" t="str" cm="1">
        <f t="array" ref="G84">IF(
  ISNUMBER(DATEVALUE(A84)),
  TEXT(DATEVALUE(A84),"yyyy-mm-dd"),
  IFERROR(
    TEXT(INDEX($A$2:$A$301,MATCH(1,
      ($B$2:$B$301=B84) * ($C$2:$C$301=C84) * ($D$2:$D$301=D84) * ($E$2:$E$301=E84) *
      ($F$2:$F$301=F84),0)),"yyyy-mm-dd"),
    "Perlu Klarifikasi"
  )
)</f>
        <v>2024-01-25</v>
      </c>
    </row>
    <row r="85" spans="1:7" x14ac:dyDescent="0.3">
      <c r="A85" s="25" t="s">
        <v>72</v>
      </c>
      <c r="B85" t="s">
        <v>115</v>
      </c>
      <c r="C85">
        <v>4.4800000000000004</v>
      </c>
      <c r="D85">
        <v>10.119999999999999</v>
      </c>
      <c r="E85">
        <v>37</v>
      </c>
      <c r="F85">
        <v>94.68</v>
      </c>
      <c r="G85" s="25" t="str" cm="1">
        <f t="array" ref="G85">IF(
  ISNUMBER(DATEVALUE(A85)),
  TEXT(DATEVALUE(A85),"yyyy-mm-dd"),
  IFERROR(
    TEXT(INDEX($A$2:$A$301,MATCH(1,
      ($B$2:$B$301=B85) * ($C$2:$C$301=C85) * ($D$2:$D$301=D85) * ($E$2:$E$301=E85) *
      ($F$2:$F$301=F85),0)),"yyyy-mm-dd"),
    "Perlu Klarifikasi"
  )
)</f>
        <v>2024-01-25</v>
      </c>
    </row>
    <row r="86" spans="1:7" x14ac:dyDescent="0.3">
      <c r="A86" s="25" t="s">
        <v>72</v>
      </c>
      <c r="B86" t="s">
        <v>115</v>
      </c>
      <c r="C86">
        <v>4.4800000000000004</v>
      </c>
      <c r="D86">
        <v>10.119999999999999</v>
      </c>
      <c r="E86">
        <v>37</v>
      </c>
      <c r="F86">
        <v>94.68</v>
      </c>
      <c r="G86" s="25" t="str" cm="1">
        <f t="array" ref="G86">IF(
  ISNUMBER(DATEVALUE(A86)),
  TEXT(DATEVALUE(A86),"yyyy-mm-dd"),
  IFERROR(
    TEXT(INDEX($A$2:$A$301,MATCH(1,
      ($B$2:$B$301=B86) * ($C$2:$C$301=C86) * ($D$2:$D$301=D86) * ($E$2:$E$301=E86) *
      ($F$2:$F$301=F86),0)),"yyyy-mm-dd"),
    "Perlu Klarifikasi"
  )
)</f>
        <v>2024-01-25</v>
      </c>
    </row>
    <row r="87" spans="1:7" x14ac:dyDescent="0.3">
      <c r="A87" s="25" t="s">
        <v>72</v>
      </c>
      <c r="B87" s="22" t="str">
        <f>B88</f>
        <v>DT02</v>
      </c>
      <c r="C87">
        <v>7.65</v>
      </c>
      <c r="D87">
        <v>5.46</v>
      </c>
      <c r="E87">
        <v>45</v>
      </c>
      <c r="F87">
        <v>83.1</v>
      </c>
      <c r="G87" s="25" t="str" cm="1">
        <f t="array" ref="G87">IF(
  ISNUMBER(DATEVALUE(A87)),
  TEXT(DATEVALUE(A87),"yyyy-mm-dd"),
  IFERROR(
    TEXT(INDEX($A$2:$A$301,MATCH(1,
      ($B$2:$B$301=B87) * ($C$2:$C$301=C87) * ($D$2:$D$301=D87) * ($E$2:$E$301=E87) *
      ($F$2:$F$301=F87),0)),"yyyy-mm-dd"),
    "Perlu Klarifikasi"
  )
)</f>
        <v>2024-01-25</v>
      </c>
    </row>
    <row r="88" spans="1:7" x14ac:dyDescent="0.3">
      <c r="A88" s="25" t="s">
        <v>72</v>
      </c>
      <c r="B88" t="s">
        <v>111</v>
      </c>
      <c r="C88">
        <v>5.66</v>
      </c>
      <c r="D88">
        <v>5.0599999999999996</v>
      </c>
      <c r="E88">
        <v>26</v>
      </c>
      <c r="F88">
        <v>66.459999999999994</v>
      </c>
      <c r="G88" s="25" t="str" cm="1">
        <f t="array" ref="G88">IF(
  ISNUMBER(DATEVALUE(A88)),
  TEXT(DATEVALUE(A88),"yyyy-mm-dd"),
  IFERROR(
    TEXT(INDEX($A$2:$A$301,MATCH(1,
      ($B$2:$B$301=B88) * ($C$2:$C$301=C88) * ($D$2:$D$301=D88) * ($E$2:$E$301=E88) *
      ($F$2:$F$301=F88),0)),"yyyy-mm-dd"),
    "Perlu Klarifikasi"
  )
)</f>
        <v>2024-01-25</v>
      </c>
    </row>
    <row r="89" spans="1:7" x14ac:dyDescent="0.3">
      <c r="A89" s="26" t="s">
        <v>52</v>
      </c>
      <c r="B89" s="22" t="s">
        <v>115</v>
      </c>
      <c r="C89" s="22">
        <f>MEDIAN(C2:C88,C90:C301)</f>
        <v>4.9400000000000004</v>
      </c>
      <c r="D89" s="22">
        <v>9.0299999999999994</v>
      </c>
      <c r="E89" s="22">
        <v>21</v>
      </c>
      <c r="F89" s="22">
        <v>47.13</v>
      </c>
      <c r="G89" s="25" t="str" cm="1">
        <f t="array" ref="G89">TEXT(
  MEDIAN(
    IF(
      ($B$2:$B$301=B89) * ISNUMBER(DATEVALUE($A$2:$A$301)),
      DATEVALUE($A$2:$A$301)
    )
  ),
  "yyyy-mm-dd"
)</f>
        <v>2024-01-25</v>
      </c>
    </row>
    <row r="90" spans="1:7" x14ac:dyDescent="0.3">
      <c r="A90" s="25" t="s">
        <v>84</v>
      </c>
      <c r="B90" t="s">
        <v>108</v>
      </c>
      <c r="C90">
        <v>6.41</v>
      </c>
      <c r="D90">
        <v>6.49</v>
      </c>
      <c r="E90">
        <v>31</v>
      </c>
      <c r="F90">
        <v>61.35</v>
      </c>
      <c r="G90" s="25" t="str" cm="1">
        <f t="array" ref="G90">IF(
  ISNUMBER(DATEVALUE(A90)),
  TEXT(DATEVALUE(A90),"yyyy-mm-dd"),
  IFERROR(
    TEXT(INDEX($A$2:$A$301,MATCH(1,
      ($B$2:$B$301=B90) * ($C$2:$C$301=C90) * ($D$2:$D$301=D90) * ($E$2:$E$301=E90) *
      ($F$2:$F$301=F90),0)),"yyyy-mm-dd"),
    "Perlu Klarifikasi"
  )
)</f>
        <v>2024-01-27</v>
      </c>
    </row>
    <row r="91" spans="1:7" x14ac:dyDescent="0.3">
      <c r="A91" s="25" t="s">
        <v>84</v>
      </c>
      <c r="B91" t="s">
        <v>108</v>
      </c>
      <c r="C91">
        <v>6.41</v>
      </c>
      <c r="D91">
        <v>6.49</v>
      </c>
      <c r="E91">
        <v>31</v>
      </c>
      <c r="F91">
        <v>61.35</v>
      </c>
      <c r="G91" s="25" t="str" cm="1">
        <f t="array" ref="G91">IF(
  ISNUMBER(DATEVALUE(A91)),
  TEXT(DATEVALUE(A91),"yyyy-mm-dd"),
  IFERROR(
    TEXT(INDEX($A$2:$A$301,MATCH(1,
      ($B$2:$B$301=B91) * ($C$2:$C$301=C91) * ($D$2:$D$301=D91) * ($E$2:$E$301=E91) *
      ($F$2:$F$301=F91),0)),"yyyy-mm-dd"),
    "Perlu Klarifikasi"
  )
)</f>
        <v>2024-01-27</v>
      </c>
    </row>
    <row r="92" spans="1:7" x14ac:dyDescent="0.3">
      <c r="A92" s="25" t="s">
        <v>49</v>
      </c>
      <c r="B92" t="s">
        <v>109</v>
      </c>
      <c r="C92">
        <v>6.9</v>
      </c>
      <c r="D92">
        <v>14.54</v>
      </c>
      <c r="E92">
        <v>34</v>
      </c>
      <c r="F92">
        <v>80.61</v>
      </c>
      <c r="G92" s="25" t="str" cm="1">
        <f t="array" ref="G92">IF(
  ISNUMBER(DATEVALUE(A92)),
  TEXT(DATEVALUE(A92),"yyyy-mm-dd"),
  IFERROR(
    TEXT(INDEX($A$2:$A$301,MATCH(1,
      ($B$2:$B$301=B92) * ($C$2:$C$301=C92) * ($D$2:$D$301=D92) * ($E$2:$E$301=E92) *
      ($F$2:$F$301=F92),0)),"yyyy-mm-dd"),
    "Perlu Klarifikasi"
  )
)</f>
        <v>2024-01-28</v>
      </c>
    </row>
    <row r="93" spans="1:7" x14ac:dyDescent="0.3">
      <c r="A93" s="25" t="s">
        <v>49</v>
      </c>
      <c r="B93" t="s">
        <v>108</v>
      </c>
      <c r="C93">
        <v>7.45</v>
      </c>
      <c r="D93">
        <v>13.52</v>
      </c>
      <c r="E93">
        <v>15</v>
      </c>
      <c r="F93">
        <v>27.7</v>
      </c>
      <c r="G93" s="25" t="str" cm="1">
        <f t="array" ref="G93">IF(
  ISNUMBER(DATEVALUE(A93)),
  TEXT(DATEVALUE(A93),"yyyy-mm-dd"),
  IFERROR(
    TEXT(INDEX($A$2:$A$301,MATCH(1,
      ($B$2:$B$301=B93) * ($C$2:$C$301=C93) * ($D$2:$D$301=D93) * ($E$2:$E$301=E93) *
      ($F$2:$F$301=F93),0)),"yyyy-mm-dd"),
    "Perlu Klarifikasi"
  )
)</f>
        <v>2024-01-28</v>
      </c>
    </row>
    <row r="94" spans="1:7" x14ac:dyDescent="0.3">
      <c r="A94" s="25" t="s">
        <v>49</v>
      </c>
      <c r="B94" t="s">
        <v>109</v>
      </c>
      <c r="C94">
        <v>6.9</v>
      </c>
      <c r="D94">
        <v>14.54</v>
      </c>
      <c r="E94">
        <v>34</v>
      </c>
      <c r="F94">
        <v>80.61</v>
      </c>
      <c r="G94" s="25" t="str" cm="1">
        <f t="array" ref="G94">IF(
  ISNUMBER(DATEVALUE(A94)),
  TEXT(DATEVALUE(A94),"yyyy-mm-dd"),
  IFERROR(
    TEXT(INDEX($A$2:$A$301,MATCH(1,
      ($B$2:$B$301=B94) * ($C$2:$C$301=C94) * ($D$2:$D$301=D94) * ($E$2:$E$301=E94) *
      ($F$2:$F$301=F94),0)),"yyyy-mm-dd"),
    "Perlu Klarifikasi"
  )
)</f>
        <v>2024-01-28</v>
      </c>
    </row>
    <row r="95" spans="1:7" x14ac:dyDescent="0.3">
      <c r="A95" s="25" t="s">
        <v>49</v>
      </c>
      <c r="B95" t="s">
        <v>108</v>
      </c>
      <c r="C95">
        <v>7.45</v>
      </c>
      <c r="D95">
        <v>13.52</v>
      </c>
      <c r="E95">
        <v>15</v>
      </c>
      <c r="F95">
        <v>27.7</v>
      </c>
      <c r="G95" s="25" t="str" cm="1">
        <f t="array" ref="G95">IF(
  ISNUMBER(DATEVALUE(A95)),
  TEXT(DATEVALUE(A95),"yyyy-mm-dd"),
  IFERROR(
    TEXT(INDEX($A$2:$A$301,MATCH(1,
      ($B$2:$B$301=B95) * ($C$2:$C$301=C95) * ($D$2:$D$301=D95) * ($E$2:$E$301=E95) *
      ($F$2:$F$301=F95),0)),"yyyy-mm-dd"),
    "Perlu Klarifikasi"
  )
)</f>
        <v>2024-01-28</v>
      </c>
    </row>
    <row r="96" spans="1:7" x14ac:dyDescent="0.3">
      <c r="A96" s="25" t="s">
        <v>49</v>
      </c>
      <c r="B96" t="s">
        <v>108</v>
      </c>
      <c r="C96">
        <v>7.45</v>
      </c>
      <c r="D96">
        <v>13.52</v>
      </c>
      <c r="E96">
        <v>15</v>
      </c>
      <c r="F96">
        <v>27.7</v>
      </c>
      <c r="G96" s="25" t="str" cm="1">
        <f t="array" ref="G96">IF(
  ISNUMBER(DATEVALUE(A96)),
  TEXT(DATEVALUE(A96),"yyyy-mm-dd"),
  IFERROR(
    TEXT(INDEX($A$2:$A$301,MATCH(1,
      ($B$2:$B$301=B96) * ($C$2:$C$301=C96) * ($D$2:$D$301=D96) * ($E$2:$E$301=E96) *
      ($F$2:$F$301=F96),0)),"yyyy-mm-dd"),
    "Perlu Klarifikasi"
  )
)</f>
        <v>2024-01-28</v>
      </c>
    </row>
    <row r="97" spans="1:7" x14ac:dyDescent="0.3">
      <c r="A97" s="25" t="s">
        <v>49</v>
      </c>
      <c r="B97" t="s">
        <v>108</v>
      </c>
      <c r="C97">
        <v>7.45</v>
      </c>
      <c r="D97">
        <v>13.52</v>
      </c>
      <c r="E97">
        <v>15</v>
      </c>
      <c r="F97">
        <v>27.7</v>
      </c>
      <c r="G97" s="25" t="str" cm="1">
        <f t="array" ref="G97">IF(
  ISNUMBER(DATEVALUE(A97)),
  TEXT(DATEVALUE(A97),"yyyy-mm-dd"),
  IFERROR(
    TEXT(INDEX($A$2:$A$301,MATCH(1,
      ($B$2:$B$301=B97) * ($C$2:$C$301=C97) * ($D$2:$D$301=D97) * ($E$2:$E$301=E97) *
      ($F$2:$F$301=F97),0)),"yyyy-mm-dd"),
    "Perlu Klarifikasi"
  )
)</f>
        <v>2024-01-28</v>
      </c>
    </row>
    <row r="98" spans="1:7" x14ac:dyDescent="0.3">
      <c r="A98" s="25" t="s">
        <v>86</v>
      </c>
      <c r="B98" t="s">
        <v>113</v>
      </c>
      <c r="C98">
        <v>7.57</v>
      </c>
      <c r="D98">
        <v>7.78</v>
      </c>
      <c r="E98">
        <v>41</v>
      </c>
      <c r="F98">
        <v>123.39</v>
      </c>
      <c r="G98" s="25" t="str" cm="1">
        <f t="array" ref="G98">IF(
  ISNUMBER(DATEVALUE(A98)),
  TEXT(DATEVALUE(A98),"yyyy-mm-dd"),
  IFERROR(
    TEXT(INDEX($A$2:$A$301,MATCH(1,
      ($B$2:$B$301=B98) * ($C$2:$C$301=C98) * ($D$2:$D$301=D98) * ($E$2:$E$301=E98) *
      ($F$2:$F$301=F98),0)),"yyyy-mm-dd"),
    "Perlu Klarifikasi"
  )
)</f>
        <v>2024-01-30</v>
      </c>
    </row>
    <row r="99" spans="1:7" x14ac:dyDescent="0.3">
      <c r="A99" s="25" t="s">
        <v>86</v>
      </c>
      <c r="B99" t="s">
        <v>113</v>
      </c>
      <c r="C99">
        <v>7.57</v>
      </c>
      <c r="D99">
        <v>7.78</v>
      </c>
      <c r="E99">
        <v>41</v>
      </c>
      <c r="F99">
        <v>123.39</v>
      </c>
      <c r="G99" s="25" t="str" cm="1">
        <f t="array" ref="G99">IF(
  ISNUMBER(DATEVALUE(A99)),
  TEXT(DATEVALUE(A99),"yyyy-mm-dd"),
  IFERROR(
    TEXT(INDEX($A$2:$A$301,MATCH(1,
      ($B$2:$B$301=B99) * ($C$2:$C$301=C99) * ($D$2:$D$301=D99) * ($E$2:$E$301=E99) *
      ($F$2:$F$301=F99),0)),"yyyy-mm-dd"),
    "Perlu Klarifikasi"
  )
)</f>
        <v>2024-01-30</v>
      </c>
    </row>
    <row r="100" spans="1:7" x14ac:dyDescent="0.3">
      <c r="A100" s="25" t="s">
        <v>58</v>
      </c>
      <c r="B100" t="s">
        <v>108</v>
      </c>
      <c r="C100">
        <v>3.5</v>
      </c>
      <c r="D100">
        <v>6.05</v>
      </c>
      <c r="E100">
        <v>38</v>
      </c>
      <c r="F100">
        <v>113.4</v>
      </c>
      <c r="G100" s="25" t="str" cm="1">
        <f t="array" ref="G100">IF(
  ISNUMBER(DATEVALUE(A100)),
  TEXT(DATEVALUE(A100),"yyyy-mm-dd"),
  IFERROR(
    TEXT(INDEX($A$2:$A$301,MATCH(1,
      ($B$2:$B$301=B100) * ($C$2:$C$301=C100) * ($D$2:$D$301=D100) * ($E$2:$E$301=E100) *
      ($F$2:$F$301=F100),0)),"yyyy-mm-dd"),
    "Perlu Klarifikasi"
  )
)</f>
        <v>2024-01-31</v>
      </c>
    </row>
    <row r="101" spans="1:7" x14ac:dyDescent="0.3">
      <c r="A101" s="25" t="s">
        <v>58</v>
      </c>
      <c r="B101" t="s">
        <v>108</v>
      </c>
      <c r="C101">
        <v>3.5</v>
      </c>
      <c r="D101">
        <v>6.05</v>
      </c>
      <c r="E101">
        <v>38</v>
      </c>
      <c r="F101">
        <v>113.4</v>
      </c>
      <c r="G101" s="25" t="str" cm="1">
        <f t="array" ref="G101">IF(
  ISNUMBER(DATEVALUE(A101)),
  TEXT(DATEVALUE(A101),"yyyy-mm-dd"),
  IFERROR(
    TEXT(INDEX($A$2:$A$301,MATCH(1,
      ($B$2:$B$301=B101) * ($C$2:$C$301=C101) * ($D$2:$D$301=D101) * ($E$2:$E$301=E101) *
      ($F$2:$F$301=F101),0)),"yyyy-mm-dd"),
    "Perlu Klarifikasi"
  )
)</f>
        <v>2024-01-31</v>
      </c>
    </row>
    <row r="102" spans="1:7" x14ac:dyDescent="0.3">
      <c r="A102" s="25" t="s">
        <v>58</v>
      </c>
      <c r="B102" t="s">
        <v>108</v>
      </c>
      <c r="C102">
        <v>3.46</v>
      </c>
      <c r="D102">
        <v>6.32</v>
      </c>
      <c r="E102">
        <v>25</v>
      </c>
      <c r="F102">
        <v>81.87</v>
      </c>
      <c r="G102" s="25" t="str" cm="1">
        <f t="array" ref="G102">IF(
  ISNUMBER(DATEVALUE(A102)),
  TEXT(DATEVALUE(A102),"yyyy-mm-dd"),
  IFERROR(
    TEXT(INDEX($A$2:$A$301,MATCH(1,
      ($B$2:$B$301=B102) * ($C$2:$C$301=C102) * ($D$2:$D$301=D102) * ($E$2:$E$301=E102) *
      ($F$2:$F$301=F102),0)),"yyyy-mm-dd"),
    "Perlu Klarifikasi"
  )
)</f>
        <v>2024-01-31</v>
      </c>
    </row>
    <row r="103" spans="1:7" x14ac:dyDescent="0.3">
      <c r="A103" s="25" t="s">
        <v>120</v>
      </c>
      <c r="B103" t="s">
        <v>111</v>
      </c>
      <c r="C103">
        <v>7.66</v>
      </c>
      <c r="D103">
        <v>14.47</v>
      </c>
      <c r="E103">
        <v>39</v>
      </c>
      <c r="F103">
        <v>93.07</v>
      </c>
      <c r="G103" s="25" t="str" cm="1">
        <f t="array" ref="G103">IF(
  ISNUMBER(DATEVALUE(A103)),
  TEXT(DATEVALUE(A103),"yyyy-mm-dd"),
  IFERROR(
    TEXT(INDEX($A$2:$A$301,MATCH(1,
      ($B$2:$B$301=B103) * ($C$2:$C$301=C103) * ($D$2:$D$301=D103) * ($E$2:$E$301=E103) *
      ($F$2:$F$301=F103),0)),"yyyy-mm-dd"),
    "Perlu Klarifikasi"
  )
)</f>
        <v>2024-02-01</v>
      </c>
    </row>
    <row r="104" spans="1:7" x14ac:dyDescent="0.3">
      <c r="A104" s="25" t="s">
        <v>120</v>
      </c>
      <c r="B104" t="s">
        <v>111</v>
      </c>
      <c r="C104">
        <v>7.66</v>
      </c>
      <c r="D104">
        <v>14.47</v>
      </c>
      <c r="E104">
        <v>39</v>
      </c>
      <c r="F104">
        <v>93.07</v>
      </c>
      <c r="G104" s="25" t="str" cm="1">
        <f t="array" ref="G104">IF(
  ISNUMBER(DATEVALUE(A104)),
  TEXT(DATEVALUE(A104),"yyyy-mm-dd"),
  IFERROR(
    TEXT(INDEX($A$2:$A$301,MATCH(1,
      ($B$2:$B$301=B104) * ($C$2:$C$301=C104) * ($D$2:$D$301=D104) * ($E$2:$E$301=E104) *
      ($F$2:$F$301=F104),0)),"yyyy-mm-dd"),
    "Perlu Klarifikasi"
  )
)</f>
        <v>2024-02-01</v>
      </c>
    </row>
    <row r="105" spans="1:7" x14ac:dyDescent="0.3">
      <c r="A105" s="25" t="s">
        <v>120</v>
      </c>
      <c r="B105" t="s">
        <v>108</v>
      </c>
      <c r="C105">
        <v>7.82</v>
      </c>
      <c r="D105">
        <v>6.35</v>
      </c>
      <c r="E105">
        <v>37</v>
      </c>
      <c r="F105">
        <v>89.95</v>
      </c>
      <c r="G105" s="25" t="str" cm="1">
        <f t="array" ref="G105">IF(
  ISNUMBER(DATEVALUE(A105)),
  TEXT(DATEVALUE(A105),"yyyy-mm-dd"),
  IFERROR(
    TEXT(INDEX($A$2:$A$301,MATCH(1,
      ($B$2:$B$301=B105) * ($C$2:$C$301=C105) * ($D$2:$D$301=D105) * ($E$2:$E$301=E105) *
      ($F$2:$F$301=F105),0)),"yyyy-mm-dd"),
    "Perlu Klarifikasi"
  )
)</f>
        <v>2024-02-01</v>
      </c>
    </row>
    <row r="106" spans="1:7" x14ac:dyDescent="0.3">
      <c r="A106" s="25" t="s">
        <v>120</v>
      </c>
      <c r="B106" t="s">
        <v>111</v>
      </c>
      <c r="C106">
        <v>7.66</v>
      </c>
      <c r="D106">
        <v>14.47</v>
      </c>
      <c r="E106">
        <v>39</v>
      </c>
      <c r="F106">
        <v>93.07</v>
      </c>
      <c r="G106" s="25" t="str" cm="1">
        <f t="array" ref="G106">IF(
  ISNUMBER(DATEVALUE(A106)),
  TEXT(DATEVALUE(A106),"yyyy-mm-dd"),
  IFERROR(
    TEXT(INDEX($A$2:$A$301,MATCH(1,
      ($B$2:$B$301=B106) * ($C$2:$C$301=C106) * ($D$2:$D$301=D106) * ($E$2:$E$301=E106) *
      ($F$2:$F$301=F106),0)),"yyyy-mm-dd"),
    "Perlu Klarifikasi"
  )
)</f>
        <v>2024-02-01</v>
      </c>
    </row>
    <row r="107" spans="1:7" x14ac:dyDescent="0.3">
      <c r="A107" s="26" t="s">
        <v>52</v>
      </c>
      <c r="B107" s="22" t="s">
        <v>108</v>
      </c>
      <c r="C107" s="22">
        <v>7.82</v>
      </c>
      <c r="D107" s="22">
        <v>6.35</v>
      </c>
      <c r="E107" s="22">
        <v>37</v>
      </c>
      <c r="F107" s="22">
        <v>89.95</v>
      </c>
      <c r="G107" s="25" t="str" cm="1">
        <f t="array" ref="G107">IF(
  ISNUMBER(DATEVALUE(A107)),
  TEXT(DATEVALUE(A107),"yyyy-mm-dd"),
  IFERROR(
    TEXT(INDEX($A$2:$A$301,MATCH(1,
      ($B$2:$B$301=B107) * ($C$2:$C$301=C107) * ($D$2:$D$301=D107) * ($E$2:$E$301=E107) *
      ($F$2:$F$301=F107),0)),"yyyy-mm-dd"),
    "Perlu Klarifikasi"
  )
)</f>
        <v>2024-02-01</v>
      </c>
    </row>
    <row r="108" spans="1:7" x14ac:dyDescent="0.3">
      <c r="A108" s="26"/>
      <c r="B108" s="22" t="s">
        <v>108</v>
      </c>
      <c r="C108" s="22">
        <v>7.82</v>
      </c>
      <c r="D108" s="22">
        <v>6.35</v>
      </c>
      <c r="E108" s="22">
        <v>37</v>
      </c>
      <c r="F108" s="22">
        <v>89.95</v>
      </c>
      <c r="G108" s="25" t="str" cm="1">
        <f t="array" ref="G108">IF(
  ISNUMBER(DATEVALUE(A108)),
  TEXT(DATEVALUE(A108),"yyyy-mm-dd"),
  IFERROR(
    TEXT(INDEX($A$2:$A$301,MATCH(1,
      ($B$2:$B$301=B108) * ($C$2:$C$301=C108) * ($D$2:$D$301=D108) * ($E$2:$E$301=E108) *
      ($F$2:$F$301=F108),0)),"yyyy-mm-dd"),
    "Perlu Klarifikasi"
  )
)</f>
        <v>2024-02-01</v>
      </c>
    </row>
    <row r="109" spans="1:7" x14ac:dyDescent="0.3">
      <c r="A109" s="25" t="s">
        <v>112</v>
      </c>
      <c r="B109" t="s">
        <v>113</v>
      </c>
      <c r="C109">
        <v>5.51</v>
      </c>
      <c r="D109">
        <v>14.68</v>
      </c>
      <c r="E109">
        <v>31</v>
      </c>
      <c r="F109">
        <v>90.78</v>
      </c>
      <c r="G109" s="25" t="str" cm="1">
        <f t="array" ref="G109">IF(
  ISNUMBER(DATEVALUE(A109)),
  TEXT(DATEVALUE(A109),"yyyy-mm-dd"),
  IFERROR(
    TEXT(INDEX($A$2:$A$301,MATCH(1,
      ($B$2:$B$301=B109) * ($C$2:$C$301=C109) * ($D$2:$D$301=D109) * ($E$2:$E$301=E109) *
      ($F$2:$F$301=F109),0)),"yyyy-mm-dd"),
    "Perlu Klarifikasi"
  )
)</f>
        <v>2024-02-02</v>
      </c>
    </row>
    <row r="110" spans="1:7" x14ac:dyDescent="0.3">
      <c r="A110" s="25" t="s">
        <v>112</v>
      </c>
      <c r="B110" t="s">
        <v>113</v>
      </c>
      <c r="C110">
        <v>5.51</v>
      </c>
      <c r="D110">
        <v>14.68</v>
      </c>
      <c r="E110">
        <v>31</v>
      </c>
      <c r="F110">
        <v>90.78</v>
      </c>
      <c r="G110" s="25" t="str" cm="1">
        <f t="array" ref="G110">IF(
  ISNUMBER(DATEVALUE(A110)),
  TEXT(DATEVALUE(A110),"yyyy-mm-dd"),
  IFERROR(
    TEXT(INDEX($A$2:$A$301,MATCH(1,
      ($B$2:$B$301=B110) * ($C$2:$C$301=C110) * ($D$2:$D$301=D110) * ($E$2:$E$301=E110) *
      ($F$2:$F$301=F110),0)),"yyyy-mm-dd"),
    "Perlu Klarifikasi"
  )
)</f>
        <v>2024-02-02</v>
      </c>
    </row>
    <row r="111" spans="1:7" x14ac:dyDescent="0.3">
      <c r="A111" s="25" t="s">
        <v>112</v>
      </c>
      <c r="B111" t="s">
        <v>113</v>
      </c>
      <c r="C111">
        <v>5.51</v>
      </c>
      <c r="D111">
        <v>14.68</v>
      </c>
      <c r="E111">
        <v>31</v>
      </c>
      <c r="F111">
        <v>90.78</v>
      </c>
      <c r="G111" s="25" t="str" cm="1">
        <f t="array" ref="G111">IF(
  ISNUMBER(DATEVALUE(A111)),
  TEXT(DATEVALUE(A111),"yyyy-mm-dd"),
  IFERROR(
    TEXT(INDEX($A$2:$A$301,MATCH(1,
      ($B$2:$B$301=B111) * ($C$2:$C$301=C111) * ($D$2:$D$301=D111) * ($E$2:$E$301=E111) *
      ($F$2:$F$301=F111),0)),"yyyy-mm-dd"),
    "Perlu Klarifikasi"
  )
)</f>
        <v>2024-02-02</v>
      </c>
    </row>
    <row r="112" spans="1:7" x14ac:dyDescent="0.3">
      <c r="A112" s="25" t="s">
        <v>112</v>
      </c>
      <c r="B112" t="s">
        <v>113</v>
      </c>
      <c r="C112">
        <v>5.51</v>
      </c>
      <c r="D112">
        <v>14.68</v>
      </c>
      <c r="E112">
        <v>31</v>
      </c>
      <c r="F112">
        <v>90.78</v>
      </c>
      <c r="G112" s="25" t="str" cm="1">
        <f t="array" ref="G112">IF(
  ISNUMBER(DATEVALUE(A112)),
  TEXT(DATEVALUE(A112),"yyyy-mm-dd"),
  IFERROR(
    TEXT(INDEX($A$2:$A$301,MATCH(1,
      ($B$2:$B$301=B112) * ($C$2:$C$301=C112) * ($D$2:$D$301=D112) * ($E$2:$E$301=E112) *
      ($F$2:$F$301=F112),0)),"yyyy-mm-dd"),
    "Perlu Klarifikasi"
  )
)</f>
        <v>2024-02-02</v>
      </c>
    </row>
    <row r="113" spans="1:7" x14ac:dyDescent="0.3">
      <c r="A113" s="25" t="s">
        <v>41</v>
      </c>
      <c r="B113" t="s">
        <v>115</v>
      </c>
      <c r="C113">
        <v>5.49</v>
      </c>
      <c r="D113">
        <v>14.12</v>
      </c>
      <c r="E113">
        <v>9</v>
      </c>
      <c r="F113">
        <v>22.64</v>
      </c>
      <c r="G113" s="25" t="str" cm="1">
        <f t="array" ref="G113">IF(
  ISNUMBER(DATEVALUE(A113)),
  TEXT(DATEVALUE(A113),"yyyy-mm-dd"),
  IFERROR(
    TEXT(INDEX($A$2:$A$301,MATCH(1,
      ($B$2:$B$301=B113) * ($C$2:$C$301=C113) * ($D$2:$D$301=D113) * ($E$2:$E$301=E113) *
      ($F$2:$F$301=F113),0)),"yyyy-mm-dd"),
    "Perlu Klarifikasi"
  )
)</f>
        <v>2024-02-03</v>
      </c>
    </row>
    <row r="114" spans="1:7" x14ac:dyDescent="0.3">
      <c r="A114" s="25" t="s">
        <v>41</v>
      </c>
      <c r="B114" t="s">
        <v>115</v>
      </c>
      <c r="C114">
        <v>5.49</v>
      </c>
      <c r="D114">
        <v>14.12</v>
      </c>
      <c r="E114">
        <v>9</v>
      </c>
      <c r="F114">
        <v>22.64</v>
      </c>
      <c r="G114" s="25" t="str" cm="1">
        <f t="array" ref="G114">IF(
  ISNUMBER(DATEVALUE(A114)),
  TEXT(DATEVALUE(A114),"yyyy-mm-dd"),
  IFERROR(
    TEXT(INDEX($A$2:$A$301,MATCH(1,
      ($B$2:$B$301=B114) * ($C$2:$C$301=C114) * ($D$2:$D$301=D114) * ($E$2:$E$301=E114) *
      ($F$2:$F$301=F114),0)),"yyyy-mm-dd"),
    "Perlu Klarifikasi"
  )
)</f>
        <v>2024-02-03</v>
      </c>
    </row>
    <row r="115" spans="1:7" x14ac:dyDescent="0.3">
      <c r="A115" s="26" t="s">
        <v>52</v>
      </c>
      <c r="B115" s="22" t="s">
        <v>113</v>
      </c>
      <c r="C115" s="22">
        <v>4.8899999999999997</v>
      </c>
      <c r="D115" s="22">
        <v>14.4</v>
      </c>
      <c r="E115" s="22">
        <v>17</v>
      </c>
      <c r="F115" s="22">
        <v>47.53</v>
      </c>
      <c r="G115" s="25" t="str" cm="1">
        <f t="array" ref="G115">TEXT(
  MEDIAN(
    IF(
      ($B$2:$B$301=B115) * ISNUMBER(DATEVALUE($A$2:$A$301)),
      DATEVALUE($A$2:$A$301)
    )
  ),
  "yyyy-mm-dd"
)</f>
        <v>2024-02-03</v>
      </c>
    </row>
    <row r="116" spans="1:7" x14ac:dyDescent="0.3">
      <c r="A116" s="25" t="s">
        <v>45</v>
      </c>
      <c r="B116" t="s">
        <v>113</v>
      </c>
      <c r="C116">
        <v>7.43</v>
      </c>
      <c r="D116">
        <v>11.04</v>
      </c>
      <c r="E116">
        <v>30</v>
      </c>
      <c r="F116">
        <v>68.599999999999994</v>
      </c>
      <c r="G116" s="25" t="str" cm="1">
        <f t="array" ref="G116">IF(
  ISNUMBER(DATEVALUE(A116)),
  TEXT(DATEVALUE(A116),"yyyy-mm-dd"),
  IFERROR(
    TEXT(INDEX($A$2:$A$301,MATCH(1,
      ($B$2:$B$301=B116) * ($C$2:$C$301=C116) * ($D$2:$D$301=D116) * ($E$2:$E$301=E116) *
      ($F$2:$F$301=F116),0)),"yyyy-mm-dd"),
    "Perlu Klarifikasi"
  )
)</f>
        <v>2024-02-04</v>
      </c>
    </row>
    <row r="117" spans="1:7" x14ac:dyDescent="0.3">
      <c r="A117" s="25" t="s">
        <v>45</v>
      </c>
      <c r="B117" t="s">
        <v>115</v>
      </c>
      <c r="C117">
        <v>3.01</v>
      </c>
      <c r="D117">
        <v>7.02</v>
      </c>
      <c r="E117">
        <v>38</v>
      </c>
      <c r="F117">
        <v>88.39</v>
      </c>
      <c r="G117" s="25" t="str" cm="1">
        <f t="array" ref="G117">IF(
  ISNUMBER(DATEVALUE(A117)),
  TEXT(DATEVALUE(A117),"yyyy-mm-dd"),
  IFERROR(
    TEXT(INDEX($A$2:$A$301,MATCH(1,
      ($B$2:$B$301=B117) * ($C$2:$C$301=C117) * ($D$2:$D$301=D117) * ($E$2:$E$301=E117) *
      ($F$2:$F$301=F117),0)),"yyyy-mm-dd"),
    "Perlu Klarifikasi"
  )
)</f>
        <v>2024-02-04</v>
      </c>
    </row>
    <row r="118" spans="1:7" x14ac:dyDescent="0.3">
      <c r="A118" s="26" t="s">
        <v>52</v>
      </c>
      <c r="B118" s="22" t="s">
        <v>115</v>
      </c>
      <c r="C118" s="22">
        <v>3.01</v>
      </c>
      <c r="D118" s="22">
        <v>7.02</v>
      </c>
      <c r="E118" s="22">
        <v>38</v>
      </c>
      <c r="F118" s="22">
        <v>88.39</v>
      </c>
      <c r="G118" s="25" t="str" cm="1">
        <f t="array" ref="G118">IF(
  ISNUMBER(DATEVALUE(A118)),
  TEXT(DATEVALUE(A118),"yyyy-mm-dd"),
  IFERROR(
    TEXT(INDEX($A$2:$A$301,MATCH(1,
      ($B$2:$B$301=B118) * ($C$2:$C$301=C118) * ($D$2:$D$301=D118) * ($E$2:$E$301=E118) *
      ($F$2:$F$301=F118),0)),"yyyy-mm-dd"),
    "Perlu Klarifikasi"
  )
)</f>
        <v>2024-02-04</v>
      </c>
    </row>
    <row r="119" spans="1:7" x14ac:dyDescent="0.3">
      <c r="A119" s="25" t="s">
        <v>64</v>
      </c>
      <c r="B119" t="s">
        <v>113</v>
      </c>
      <c r="C119">
        <v>2.42</v>
      </c>
      <c r="D119">
        <v>13.1</v>
      </c>
      <c r="E119">
        <v>35</v>
      </c>
      <c r="F119">
        <v>67.98</v>
      </c>
      <c r="G119" s="25" t="str" cm="1">
        <f t="array" ref="G119">IF(
  ISNUMBER(DATEVALUE(A119)),
  TEXT(DATEVALUE(A119),"yyyy-mm-dd"),
  IFERROR(
    TEXT(INDEX($A$2:$A$301,MATCH(1,
      ($B$2:$B$301=B119) * ($C$2:$C$301=C119) * ($D$2:$D$301=D119) * ($E$2:$E$301=E119) *
      ($F$2:$F$301=F119),0)),"yyyy-mm-dd"),
    "Perlu Klarifikasi"
  )
)</f>
        <v>2024-02-05</v>
      </c>
    </row>
    <row r="120" spans="1:7" x14ac:dyDescent="0.3">
      <c r="A120" s="25" t="s">
        <v>64</v>
      </c>
      <c r="B120" t="s">
        <v>108</v>
      </c>
      <c r="C120">
        <v>5.18</v>
      </c>
      <c r="D120">
        <v>14.8</v>
      </c>
      <c r="E120">
        <v>29</v>
      </c>
      <c r="F120">
        <v>54.96</v>
      </c>
      <c r="G120" s="25" t="str" cm="1">
        <f t="array" ref="G120">IF(
  ISNUMBER(DATEVALUE(A120)),
  TEXT(DATEVALUE(A120),"yyyy-mm-dd"),
  IFERROR(
    TEXT(INDEX($A$2:$A$301,MATCH(1,
      ($B$2:$B$301=B120) * ($C$2:$C$301=C120) * ($D$2:$D$301=D120) * ($E$2:$E$301=E120) *
      ($F$2:$F$301=F120),0)),"yyyy-mm-dd"),
    "Perlu Klarifikasi"
  )
)</f>
        <v>2024-02-05</v>
      </c>
    </row>
    <row r="121" spans="1:7" x14ac:dyDescent="0.3">
      <c r="A121" s="25" t="s">
        <v>64</v>
      </c>
      <c r="B121" t="s">
        <v>108</v>
      </c>
      <c r="C121">
        <v>5.18</v>
      </c>
      <c r="D121">
        <v>14.8</v>
      </c>
      <c r="E121">
        <v>29</v>
      </c>
      <c r="F121">
        <v>54.96</v>
      </c>
      <c r="G121" s="25" t="str" cm="1">
        <f t="array" ref="G121">IF(
  ISNUMBER(DATEVALUE(A121)),
  TEXT(DATEVALUE(A121),"yyyy-mm-dd"),
  IFERROR(
    TEXT(INDEX($A$2:$A$301,MATCH(1,
      ($B$2:$B$301=B121) * ($C$2:$C$301=C121) * ($D$2:$D$301=D121) * ($E$2:$E$301=E121) *
      ($F$2:$F$301=F121),0)),"yyyy-mm-dd"),
    "Perlu Klarifikasi"
  )
)</f>
        <v>2024-02-05</v>
      </c>
    </row>
    <row r="122" spans="1:7" x14ac:dyDescent="0.3">
      <c r="A122" s="25" t="s">
        <v>64</v>
      </c>
      <c r="B122" t="s">
        <v>113</v>
      </c>
      <c r="C122">
        <v>2.42</v>
      </c>
      <c r="D122">
        <v>13.1</v>
      </c>
      <c r="E122">
        <v>35</v>
      </c>
      <c r="F122">
        <v>67.98</v>
      </c>
      <c r="G122" s="25" t="str" cm="1">
        <f t="array" ref="G122">IF(
  ISNUMBER(DATEVALUE(A122)),
  TEXT(DATEVALUE(A122),"yyyy-mm-dd"),
  IFERROR(
    TEXT(INDEX($A$2:$A$301,MATCH(1,
      ($B$2:$B$301=B122) * ($C$2:$C$301=C122) * ($D$2:$D$301=D122) * ($E$2:$E$301=E122) *
      ($F$2:$F$301=F122),0)),"yyyy-mm-dd"),
    "Perlu Klarifikasi"
  )
)</f>
        <v>2024-02-05</v>
      </c>
    </row>
    <row r="123" spans="1:7" x14ac:dyDescent="0.3">
      <c r="A123" s="25" t="s">
        <v>51</v>
      </c>
      <c r="B123" t="s">
        <v>109</v>
      </c>
      <c r="C123">
        <v>4.3099999999999996</v>
      </c>
      <c r="D123">
        <v>13.9</v>
      </c>
      <c r="E123">
        <v>30</v>
      </c>
      <c r="F123">
        <v>70.42</v>
      </c>
      <c r="G123" s="25" t="str" cm="1">
        <f t="array" ref="G123">IF(
  ISNUMBER(DATEVALUE(A123)),
  TEXT(DATEVALUE(A123),"yyyy-mm-dd"),
  IFERROR(
    TEXT(INDEX($A$2:$A$301,MATCH(1,
      ($B$2:$B$301=B123) * ($C$2:$C$301=C123) * ($D$2:$D$301=D123) * ($E$2:$E$301=E123) *
      ($F$2:$F$301=F123),0)),"yyyy-mm-dd"),
    "Perlu Klarifikasi"
  )
)</f>
        <v>2024-02-06</v>
      </c>
    </row>
    <row r="124" spans="1:7" x14ac:dyDescent="0.3">
      <c r="A124" s="25" t="s">
        <v>51</v>
      </c>
      <c r="B124" t="s">
        <v>115</v>
      </c>
      <c r="C124">
        <v>6.48</v>
      </c>
      <c r="D124">
        <v>9.19</v>
      </c>
      <c r="E124">
        <v>8</v>
      </c>
      <c r="F124">
        <v>25.67</v>
      </c>
      <c r="G124" s="25" t="str" cm="1">
        <f t="array" ref="G124">IF(
  ISNUMBER(DATEVALUE(A124)),
  TEXT(DATEVALUE(A124),"yyyy-mm-dd"),
  IFERROR(
    TEXT(INDEX($A$2:$A$301,MATCH(1,
      ($B$2:$B$301=B124) * ($C$2:$C$301=C124) * ($D$2:$D$301=D124) * ($E$2:$E$301=E124) *
      ($F$2:$F$301=F124),0)),"yyyy-mm-dd"),
    "Perlu Klarifikasi"
  )
)</f>
        <v>2024-02-06</v>
      </c>
    </row>
    <row r="125" spans="1:7" x14ac:dyDescent="0.3">
      <c r="A125" s="25" t="s">
        <v>51</v>
      </c>
      <c r="B125" t="s">
        <v>113</v>
      </c>
      <c r="C125">
        <v>5.26</v>
      </c>
      <c r="D125">
        <v>5.37</v>
      </c>
      <c r="E125">
        <v>34</v>
      </c>
      <c r="F125">
        <v>99.25</v>
      </c>
      <c r="G125" s="25" t="str" cm="1">
        <f t="array" ref="G125">IF(
  ISNUMBER(DATEVALUE(A125)),
  TEXT(DATEVALUE(A125),"yyyy-mm-dd"),
  IFERROR(
    TEXT(INDEX($A$2:$A$301,MATCH(1,
      ($B$2:$B$301=B125) * ($C$2:$C$301=C125) * ($D$2:$D$301=D125) * ($E$2:$E$301=E125) *
      ($F$2:$F$301=F125),0)),"yyyy-mm-dd"),
    "Perlu Klarifikasi"
  )
)</f>
        <v>2024-02-06</v>
      </c>
    </row>
    <row r="126" spans="1:7" x14ac:dyDescent="0.3">
      <c r="A126" s="25" t="s">
        <v>51</v>
      </c>
      <c r="B126" t="s">
        <v>113</v>
      </c>
      <c r="C126">
        <v>5.26</v>
      </c>
      <c r="D126">
        <v>5.37</v>
      </c>
      <c r="E126">
        <v>34</v>
      </c>
      <c r="F126">
        <v>99.25</v>
      </c>
      <c r="G126" s="25" t="str" cm="1">
        <f t="array" ref="G126">IF(
  ISNUMBER(DATEVALUE(A126)),
  TEXT(DATEVALUE(A126),"yyyy-mm-dd"),
  IFERROR(
    TEXT(INDEX($A$2:$A$301,MATCH(1,
      ($B$2:$B$301=B126) * ($C$2:$C$301=C126) * ($D$2:$D$301=D126) * ($E$2:$E$301=E126) *
      ($F$2:$F$301=F126),0)),"yyyy-mm-dd"),
    "Perlu Klarifikasi"
  )
)</f>
        <v>2024-02-06</v>
      </c>
    </row>
    <row r="127" spans="1:7" x14ac:dyDescent="0.3">
      <c r="A127" s="25" t="s">
        <v>51</v>
      </c>
      <c r="B127" t="s">
        <v>115</v>
      </c>
      <c r="C127">
        <v>6.48</v>
      </c>
      <c r="D127">
        <v>9.19</v>
      </c>
      <c r="E127">
        <v>8</v>
      </c>
      <c r="F127">
        <v>25.67</v>
      </c>
      <c r="G127" s="25" t="str" cm="1">
        <f t="array" ref="G127">IF(
  ISNUMBER(DATEVALUE(A127)),
  TEXT(DATEVALUE(A127),"yyyy-mm-dd"),
  IFERROR(
    TEXT(INDEX($A$2:$A$301,MATCH(1,
      ($B$2:$B$301=B127) * ($C$2:$C$301=C127) * ($D$2:$D$301=D127) * ($E$2:$E$301=E127) *
      ($F$2:$F$301=F127),0)),"yyyy-mm-dd"),
    "Perlu Klarifikasi"
  )
)</f>
        <v>2024-02-06</v>
      </c>
    </row>
    <row r="128" spans="1:7" x14ac:dyDescent="0.3">
      <c r="A128" s="25" t="s">
        <v>51</v>
      </c>
      <c r="B128" t="s">
        <v>113</v>
      </c>
      <c r="C128">
        <v>5.26</v>
      </c>
      <c r="D128">
        <v>5.37</v>
      </c>
      <c r="E128">
        <v>34</v>
      </c>
      <c r="F128">
        <v>99.25</v>
      </c>
      <c r="G128" s="25" t="str" cm="1">
        <f t="array" ref="G128">IF(
  ISNUMBER(DATEVALUE(A128)),
  TEXT(DATEVALUE(A128),"yyyy-mm-dd"),
  IFERROR(
    TEXT(INDEX($A$2:$A$301,MATCH(1,
      ($B$2:$B$301=B128) * ($C$2:$C$301=C128) * ($D$2:$D$301=D128) * ($E$2:$E$301=E128) *
      ($F$2:$F$301=F128),0)),"yyyy-mm-dd"),
    "Perlu Klarifikasi"
  )
)</f>
        <v>2024-02-06</v>
      </c>
    </row>
    <row r="129" spans="1:7" x14ac:dyDescent="0.3">
      <c r="A129" s="25" t="s">
        <v>51</v>
      </c>
      <c r="B129" t="s">
        <v>109</v>
      </c>
      <c r="C129">
        <v>4.3099999999999996</v>
      </c>
      <c r="D129">
        <v>13.9</v>
      </c>
      <c r="E129">
        <v>30</v>
      </c>
      <c r="F129">
        <v>70.42</v>
      </c>
      <c r="G129" s="25" t="str" cm="1">
        <f t="array" ref="G129">IF(
  ISNUMBER(DATEVALUE(A129)),
  TEXT(DATEVALUE(A129),"yyyy-mm-dd"),
  IFERROR(
    TEXT(INDEX($A$2:$A$301,MATCH(1,
      ($B$2:$B$301=B129) * ($C$2:$C$301=C129) * ($D$2:$D$301=D129) * ($E$2:$E$301=E129) *
      ($F$2:$F$301=F129),0)),"yyyy-mm-dd"),
    "Perlu Klarifikasi"
  )
)</f>
        <v>2024-02-06</v>
      </c>
    </row>
    <row r="130" spans="1:7" x14ac:dyDescent="0.3">
      <c r="A130" s="25" t="s">
        <v>51</v>
      </c>
      <c r="B130" t="s">
        <v>115</v>
      </c>
      <c r="C130">
        <v>6.48</v>
      </c>
      <c r="D130">
        <v>9.19</v>
      </c>
      <c r="E130">
        <v>8</v>
      </c>
      <c r="F130">
        <v>25.67</v>
      </c>
      <c r="G130" s="25" t="str" cm="1">
        <f t="array" ref="G130">IF(
  ISNUMBER(DATEVALUE(A130)),
  TEXT(DATEVALUE(A130),"yyyy-mm-dd"),
  IFERROR(
    TEXT(INDEX($A$2:$A$301,MATCH(1,
      ($B$2:$B$301=B130) * ($C$2:$C$301=C130) * ($D$2:$D$301=D130) * ($E$2:$E$301=E130) *
      ($F$2:$F$301=F130),0)),"yyyy-mm-dd"),
    "Perlu Klarifikasi"
  )
)</f>
        <v>2024-02-06</v>
      </c>
    </row>
    <row r="131" spans="1:7" x14ac:dyDescent="0.3">
      <c r="A131" s="25" t="s">
        <v>51</v>
      </c>
      <c r="B131" t="s">
        <v>109</v>
      </c>
      <c r="C131">
        <v>4.3099999999999996</v>
      </c>
      <c r="D131">
        <v>13.9</v>
      </c>
      <c r="E131">
        <v>30</v>
      </c>
      <c r="F131">
        <v>70.42</v>
      </c>
      <c r="G131" s="25" t="str" cm="1">
        <f t="array" ref="G131">IF(
  ISNUMBER(DATEVALUE(A131)),
  TEXT(DATEVALUE(A131),"yyyy-mm-dd"),
  IFERROR(
    TEXT(INDEX($A$2:$A$301,MATCH(1,
      ($B$2:$B$301=B131) * ($C$2:$C$301=C131) * ($D$2:$D$301=D131) * ($E$2:$E$301=E131) *
      ($F$2:$F$301=F131),0)),"yyyy-mm-dd"),
    "Perlu Klarifikasi"
  )
)</f>
        <v>2024-02-06</v>
      </c>
    </row>
    <row r="132" spans="1:7" x14ac:dyDescent="0.3">
      <c r="A132" s="25" t="s">
        <v>51</v>
      </c>
      <c r="B132" t="s">
        <v>109</v>
      </c>
      <c r="C132">
        <v>4.3099999999999996</v>
      </c>
      <c r="D132">
        <v>13.9</v>
      </c>
      <c r="E132">
        <v>30</v>
      </c>
      <c r="F132">
        <v>70.42</v>
      </c>
      <c r="G132" s="25" t="str" cm="1">
        <f t="array" ref="G132">IF(
  ISNUMBER(DATEVALUE(A132)),
  TEXT(DATEVALUE(A132),"yyyy-mm-dd"),
  IFERROR(
    TEXT(INDEX($A$2:$A$301,MATCH(1,
      ($B$2:$B$301=B132) * ($C$2:$C$301=C132) * ($D$2:$D$301=D132) * ($E$2:$E$301=E132) *
      ($F$2:$F$301=F132),0)),"yyyy-mm-dd"),
    "Perlu Klarifikasi"
  )
)</f>
        <v>2024-02-06</v>
      </c>
    </row>
    <row r="133" spans="1:7" x14ac:dyDescent="0.3">
      <c r="A133" s="25" t="s">
        <v>51</v>
      </c>
      <c r="B133" t="s">
        <v>108</v>
      </c>
      <c r="C133">
        <v>2.66</v>
      </c>
      <c r="D133">
        <v>11.77</v>
      </c>
      <c r="E133">
        <v>25</v>
      </c>
      <c r="F133">
        <v>71.790000000000006</v>
      </c>
      <c r="G133" s="25" t="str" cm="1">
        <f t="array" ref="G133">IF(
  ISNUMBER(DATEVALUE(A133)),
  TEXT(DATEVALUE(A133),"yyyy-mm-dd"),
  IFERROR(
    TEXT(INDEX($A$2:$A$301,MATCH(1,
      ($B$2:$B$301=B133) * ($C$2:$C$301=C133) * ($D$2:$D$301=D133) * ($E$2:$E$301=E133) *
      ($F$2:$F$301=F133),0)),"yyyy-mm-dd"),
    "Perlu Klarifikasi"
  )
)</f>
        <v>2024-02-06</v>
      </c>
    </row>
    <row r="134" spans="1:7" x14ac:dyDescent="0.3">
      <c r="A134" s="26"/>
      <c r="B134" s="22" t="s">
        <v>113</v>
      </c>
      <c r="C134" s="22">
        <v>5.26</v>
      </c>
      <c r="D134" s="22">
        <v>5.37</v>
      </c>
      <c r="E134" s="22">
        <v>34</v>
      </c>
      <c r="F134" s="22">
        <v>99.25</v>
      </c>
      <c r="G134" s="25" t="str" cm="1">
        <f t="array" ref="G134">IF(
  ISNUMBER(DATEVALUE(A134)),
  TEXT(DATEVALUE(A134),"yyyy-mm-dd"),
  IFERROR(
    TEXT(INDEX($A$2:$A$301,MATCH(1,
      ($B$2:$B$301=B134) * ($C$2:$C$301=C134) * ($D$2:$D$301=D134) * ($E$2:$E$301=E134) *
      ($F$2:$F$301=F134),0)),"yyyy-mm-dd"),
    "Perlu Klarifikasi"
  )
)</f>
        <v>2024-02-06</v>
      </c>
    </row>
    <row r="135" spans="1:7" x14ac:dyDescent="0.3">
      <c r="A135" s="25" t="s">
        <v>129</v>
      </c>
      <c r="B135" t="s">
        <v>115</v>
      </c>
      <c r="C135">
        <v>4.99</v>
      </c>
      <c r="D135">
        <v>6.92</v>
      </c>
      <c r="E135">
        <v>27</v>
      </c>
      <c r="F135">
        <v>90.23</v>
      </c>
      <c r="G135" s="25" t="str" cm="1">
        <f t="array" ref="G135">IF(
  ISNUMBER(DATEVALUE(A135)),
  TEXT(DATEVALUE(A135),"yyyy-mm-dd"),
  IFERROR(
    TEXT(INDEX($A$2:$A$301,MATCH(1,
      ($B$2:$B$301=B135) * ($C$2:$C$301=C135) * ($D$2:$D$301=D135) * ($E$2:$E$301=E135) *
      ($F$2:$F$301=F135),0)),"yyyy-mm-dd"),
    "Perlu Klarifikasi"
  )
)</f>
        <v>2024-02-07</v>
      </c>
    </row>
    <row r="136" spans="1:7" x14ac:dyDescent="0.3">
      <c r="A136" s="25" t="s">
        <v>110</v>
      </c>
      <c r="B136" t="s">
        <v>111</v>
      </c>
      <c r="C136">
        <v>5.09</v>
      </c>
      <c r="D136">
        <v>8.19</v>
      </c>
      <c r="E136">
        <v>45</v>
      </c>
      <c r="F136">
        <v>133.29</v>
      </c>
      <c r="G136" s="25" t="str" cm="1">
        <f t="array" ref="G136">IF(
  ISNUMBER(DATEVALUE(A136)),
  TEXT(DATEVALUE(A136),"yyyy-mm-dd"),
  IFERROR(
    TEXT(INDEX($A$2:$A$301,MATCH(1,
      ($B$2:$B$301=B136) * ($C$2:$C$301=C136) * ($D$2:$D$301=D136) * ($E$2:$E$301=E136) *
      ($F$2:$F$301=F136),0)),"yyyy-mm-dd"),
    "Perlu Klarifikasi"
  )
)</f>
        <v>2024-02-08</v>
      </c>
    </row>
    <row r="137" spans="1:7" x14ac:dyDescent="0.3">
      <c r="A137" s="25" t="s">
        <v>110</v>
      </c>
      <c r="B137" t="s">
        <v>111</v>
      </c>
      <c r="C137">
        <v>6.06</v>
      </c>
      <c r="D137">
        <v>10.41</v>
      </c>
      <c r="E137">
        <v>27</v>
      </c>
      <c r="F137">
        <v>89.6</v>
      </c>
      <c r="G137" s="25" t="str" cm="1">
        <f t="array" ref="G137">IF(
  ISNUMBER(DATEVALUE(A137)),
  TEXT(DATEVALUE(A137),"yyyy-mm-dd"),
  IFERROR(
    TEXT(INDEX($A$2:$A$301,MATCH(1,
      ($B$2:$B$301=B137) * ($C$2:$C$301=C137) * ($D$2:$D$301=D137) * ($E$2:$E$301=E137) *
      ($F$2:$F$301=F137),0)),"yyyy-mm-dd"),
    "Perlu Klarifikasi"
  )
)</f>
        <v>2024-02-08</v>
      </c>
    </row>
    <row r="138" spans="1:7" x14ac:dyDescent="0.3">
      <c r="A138" s="25" t="s">
        <v>110</v>
      </c>
      <c r="B138" t="s">
        <v>115</v>
      </c>
      <c r="C138">
        <v>5.97</v>
      </c>
      <c r="D138">
        <v>14.03</v>
      </c>
      <c r="E138">
        <v>32</v>
      </c>
      <c r="F138">
        <v>108.8</v>
      </c>
      <c r="G138" s="25" t="str" cm="1">
        <f t="array" ref="G138">IF(
  ISNUMBER(DATEVALUE(A138)),
  TEXT(DATEVALUE(A138),"yyyy-mm-dd"),
  IFERROR(
    TEXT(INDEX($A$2:$A$301,MATCH(1,
      ($B$2:$B$301=B138) * ($C$2:$C$301=C138) * ($D$2:$D$301=D138) * ($E$2:$E$301=E138) *
      ($F$2:$F$301=F138),0)),"yyyy-mm-dd"),
    "Perlu Klarifikasi"
  )
)</f>
        <v>2024-02-08</v>
      </c>
    </row>
    <row r="139" spans="1:7" x14ac:dyDescent="0.3">
      <c r="A139" s="25" t="s">
        <v>110</v>
      </c>
      <c r="B139" t="s">
        <v>111</v>
      </c>
      <c r="C139">
        <v>5.09</v>
      </c>
      <c r="D139">
        <v>8.19</v>
      </c>
      <c r="E139">
        <v>45</v>
      </c>
      <c r="F139">
        <v>133.29</v>
      </c>
      <c r="G139" s="25" t="str" cm="1">
        <f t="array" ref="G139">IF(
  ISNUMBER(DATEVALUE(A139)),
  TEXT(DATEVALUE(A139),"yyyy-mm-dd"),
  IFERROR(
    TEXT(INDEX($A$2:$A$301,MATCH(1,
      ($B$2:$B$301=B139) * ($C$2:$C$301=C139) * ($D$2:$D$301=D139) * ($E$2:$E$301=E139) *
      ($F$2:$F$301=F139),0)),"yyyy-mm-dd"),
    "Perlu Klarifikasi"
  )
)</f>
        <v>2024-02-08</v>
      </c>
    </row>
    <row r="140" spans="1:7" x14ac:dyDescent="0.3">
      <c r="A140" s="25" t="s">
        <v>110</v>
      </c>
      <c r="B140" t="s">
        <v>111</v>
      </c>
      <c r="C140">
        <v>6.06</v>
      </c>
      <c r="D140">
        <v>10.41</v>
      </c>
      <c r="E140">
        <v>27</v>
      </c>
      <c r="F140">
        <v>89.6</v>
      </c>
      <c r="G140" s="25" t="str" cm="1">
        <f t="array" ref="G140">IF(
  ISNUMBER(DATEVALUE(A140)),
  TEXT(DATEVALUE(A140),"yyyy-mm-dd"),
  IFERROR(
    TEXT(INDEX($A$2:$A$301,MATCH(1,
      ($B$2:$B$301=B140) * ($C$2:$C$301=C140) * ($D$2:$D$301=D140) * ($E$2:$E$301=E140) *
      ($F$2:$F$301=F140),0)),"yyyy-mm-dd"),
    "Perlu Klarifikasi"
  )
)</f>
        <v>2024-02-08</v>
      </c>
    </row>
    <row r="141" spans="1:7" x14ac:dyDescent="0.3">
      <c r="A141" s="25" t="s">
        <v>110</v>
      </c>
      <c r="B141" s="22" t="str">
        <f>B140</f>
        <v>DT02</v>
      </c>
      <c r="C141">
        <v>5.97</v>
      </c>
      <c r="D141">
        <v>14.03</v>
      </c>
      <c r="E141">
        <v>32</v>
      </c>
      <c r="F141">
        <v>108.8</v>
      </c>
      <c r="G141" s="25" t="str" cm="1">
        <f t="array" ref="G141">IF(
  ISNUMBER(DATEVALUE(A141)),
  TEXT(DATEVALUE(A141),"yyyy-mm-dd"),
  IFERROR(
    TEXT(INDEX($A$2:$A$301,MATCH(1,
      ($B$2:$B$301=B141) * ($C$2:$C$301=C141) * ($D$2:$D$301=D141) * ($E$2:$E$301=E141) *
      ($F$2:$F$301=F141),0)),"yyyy-mm-dd"),
    "Perlu Klarifikasi"
  )
)</f>
        <v>2024-02-08</v>
      </c>
    </row>
    <row r="142" spans="1:7" x14ac:dyDescent="0.3">
      <c r="A142" s="25" t="s">
        <v>110</v>
      </c>
      <c r="B142" t="s">
        <v>111</v>
      </c>
      <c r="C142">
        <v>6.06</v>
      </c>
      <c r="D142">
        <v>10.41</v>
      </c>
      <c r="E142">
        <v>27</v>
      </c>
      <c r="F142">
        <v>89.6</v>
      </c>
      <c r="G142" s="25" t="str" cm="1">
        <f t="array" ref="G142">IF(
  ISNUMBER(DATEVALUE(A142)),
  TEXT(DATEVALUE(A142),"yyyy-mm-dd"),
  IFERROR(
    TEXT(INDEX($A$2:$A$301,MATCH(1,
      ($B$2:$B$301=B142) * ($C$2:$C$301=C142) * ($D$2:$D$301=D142) * ($E$2:$E$301=E142) *
      ($F$2:$F$301=F142),0)),"yyyy-mm-dd"),
    "Perlu Klarifikasi"
  )
)</f>
        <v>2024-02-08</v>
      </c>
    </row>
    <row r="143" spans="1:7" x14ac:dyDescent="0.3">
      <c r="A143" s="25" t="s">
        <v>65</v>
      </c>
      <c r="B143" t="s">
        <v>109</v>
      </c>
      <c r="C143">
        <v>4.53</v>
      </c>
      <c r="D143">
        <v>10.25</v>
      </c>
      <c r="E143">
        <v>39</v>
      </c>
      <c r="F143">
        <v>124.11</v>
      </c>
      <c r="G143" s="25" t="str" cm="1">
        <f t="array" ref="G143">IF(
  ISNUMBER(DATEVALUE(A143)),
  TEXT(DATEVALUE(A143),"yyyy-mm-dd"),
  IFERROR(
    TEXT(INDEX($A$2:$A$301,MATCH(1,
      ($B$2:$B$301=B143) * ($C$2:$C$301=C143) * ($D$2:$D$301=D143) * ($E$2:$E$301=E143) *
      ($F$2:$F$301=F143),0)),"yyyy-mm-dd"),
    "Perlu Klarifikasi"
  )
)</f>
        <v>2024-02-10</v>
      </c>
    </row>
    <row r="144" spans="1:7" x14ac:dyDescent="0.3">
      <c r="A144" s="25" t="s">
        <v>65</v>
      </c>
      <c r="B144" t="s">
        <v>109</v>
      </c>
      <c r="C144">
        <v>4.53</v>
      </c>
      <c r="D144">
        <v>10.25</v>
      </c>
      <c r="E144">
        <v>39</v>
      </c>
      <c r="F144">
        <v>124.11</v>
      </c>
      <c r="G144" s="25" t="str" cm="1">
        <f t="array" ref="G144">IF(
  ISNUMBER(DATEVALUE(A144)),
  TEXT(DATEVALUE(A144),"yyyy-mm-dd"),
  IFERROR(
    TEXT(INDEX($A$2:$A$301,MATCH(1,
      ($B$2:$B$301=B144) * ($C$2:$C$301=C144) * ($D$2:$D$301=D144) * ($E$2:$E$301=E144) *
      ($F$2:$F$301=F144),0)),"yyyy-mm-dd"),
    "Perlu Klarifikasi"
  )
)</f>
        <v>2024-02-10</v>
      </c>
    </row>
    <row r="145" spans="1:7" x14ac:dyDescent="0.3">
      <c r="A145" s="25" t="s">
        <v>65</v>
      </c>
      <c r="B145" t="s">
        <v>111</v>
      </c>
      <c r="C145">
        <v>5.64</v>
      </c>
      <c r="D145">
        <v>10.119999999999999</v>
      </c>
      <c r="E145">
        <v>31</v>
      </c>
      <c r="F145">
        <v>90.96</v>
      </c>
      <c r="G145" s="25" t="str" cm="1">
        <f t="array" ref="G145">IF(
  ISNUMBER(DATEVALUE(A145)),
  TEXT(DATEVALUE(A145),"yyyy-mm-dd"),
  IFERROR(
    TEXT(INDEX($A$2:$A$301,MATCH(1,
      ($B$2:$B$301=B145) * ($C$2:$C$301=C145) * ($D$2:$D$301=D145) * ($E$2:$E$301=E145) *
      ($F$2:$F$301=F145),0)),"yyyy-mm-dd"),
    "Perlu Klarifikasi"
  )
)</f>
        <v>2024-02-10</v>
      </c>
    </row>
    <row r="146" spans="1:7" x14ac:dyDescent="0.3">
      <c r="A146" s="25" t="s">
        <v>65</v>
      </c>
      <c r="B146" t="s">
        <v>111</v>
      </c>
      <c r="C146">
        <v>3.4</v>
      </c>
      <c r="D146">
        <v>11.72</v>
      </c>
      <c r="E146">
        <v>18</v>
      </c>
      <c r="F146">
        <v>51.94</v>
      </c>
      <c r="G146" s="25" t="str" cm="1">
        <f t="array" ref="G146">IF(
  ISNUMBER(DATEVALUE(A146)),
  TEXT(DATEVALUE(A146),"yyyy-mm-dd"),
  IFERROR(
    TEXT(INDEX($A$2:$A$301,MATCH(1,
      ($B$2:$B$301=B146) * ($C$2:$C$301=C146) * ($D$2:$D$301=D146) * ($E$2:$E$301=E146) *
      ($F$2:$F$301=F146),0)),"yyyy-mm-dd"),
    "Perlu Klarifikasi"
  )
)</f>
        <v>2024-02-10</v>
      </c>
    </row>
    <row r="147" spans="1:7" x14ac:dyDescent="0.3">
      <c r="A147" s="25" t="s">
        <v>65</v>
      </c>
      <c r="B147" t="s">
        <v>111</v>
      </c>
      <c r="C147">
        <v>3.4</v>
      </c>
      <c r="D147">
        <v>11.72</v>
      </c>
      <c r="E147">
        <v>18</v>
      </c>
      <c r="F147">
        <v>51.94</v>
      </c>
      <c r="G147" s="25" t="str" cm="1">
        <f t="array" ref="G147">IF(
  ISNUMBER(DATEVALUE(A147)),
  TEXT(DATEVALUE(A147),"yyyy-mm-dd"),
  IFERROR(
    TEXT(INDEX($A$2:$A$301,MATCH(1,
      ($B$2:$B$301=B147) * ($C$2:$C$301=C147) * ($D$2:$D$301=D147) * ($E$2:$E$301=E147) *
      ($F$2:$F$301=F147),0)),"yyyy-mm-dd"),
    "Perlu Klarifikasi"
  )
)</f>
        <v>2024-02-10</v>
      </c>
    </row>
    <row r="148" spans="1:7" x14ac:dyDescent="0.3">
      <c r="A148" s="25" t="s">
        <v>65</v>
      </c>
      <c r="B148" t="s">
        <v>109</v>
      </c>
      <c r="C148">
        <v>4.53</v>
      </c>
      <c r="D148">
        <v>10.25</v>
      </c>
      <c r="E148">
        <v>39</v>
      </c>
      <c r="F148">
        <v>124.11</v>
      </c>
      <c r="G148" s="25" t="str" cm="1">
        <f t="array" ref="G148">IF(
  ISNUMBER(DATEVALUE(A148)),
  TEXT(DATEVALUE(A148),"yyyy-mm-dd"),
  IFERROR(
    TEXT(INDEX($A$2:$A$301,MATCH(1,
      ($B$2:$B$301=B148) * ($C$2:$C$301=C148) * ($D$2:$D$301=D148) * ($E$2:$E$301=E148) *
      ($F$2:$F$301=F148),0)),"yyyy-mm-dd"),
    "Perlu Klarifikasi"
  )
)</f>
        <v>2024-02-10</v>
      </c>
    </row>
    <row r="149" spans="1:7" x14ac:dyDescent="0.3">
      <c r="A149" s="25" t="s">
        <v>65</v>
      </c>
      <c r="B149" t="s">
        <v>111</v>
      </c>
      <c r="C149">
        <v>6.03</v>
      </c>
      <c r="D149">
        <v>10.55</v>
      </c>
      <c r="E149">
        <v>22</v>
      </c>
      <c r="F149">
        <v>69.44</v>
      </c>
      <c r="G149" s="25" t="str" cm="1">
        <f t="array" ref="G149">IF(
  ISNUMBER(DATEVALUE(A149)),
  TEXT(DATEVALUE(A149),"yyyy-mm-dd"),
  IFERROR(
    TEXT(INDEX($A$2:$A$301,MATCH(1,
      ($B$2:$B$301=B149) * ($C$2:$C$301=C149) * ($D$2:$D$301=D149) * ($E$2:$E$301=E149) *
      ($F$2:$F$301=F149),0)),"yyyy-mm-dd"),
    "Perlu Klarifikasi"
  )
)</f>
        <v>2024-02-10</v>
      </c>
    </row>
    <row r="150" spans="1:7" x14ac:dyDescent="0.3">
      <c r="A150" s="25" t="s">
        <v>90</v>
      </c>
      <c r="B150" t="s">
        <v>109</v>
      </c>
      <c r="C150">
        <v>6.53</v>
      </c>
      <c r="D150">
        <v>9.24</v>
      </c>
      <c r="E150">
        <v>13</v>
      </c>
      <c r="F150">
        <v>28.78</v>
      </c>
      <c r="G150" s="25" t="str" cm="1">
        <f t="array" ref="G150">IF(
  ISNUMBER(DATEVALUE(A150)),
  TEXT(DATEVALUE(A150),"yyyy-mm-dd"),
  IFERROR(
    TEXT(INDEX($A$2:$A$301,MATCH(1,
      ($B$2:$B$301=B150) * ($C$2:$C$301=C150) * ($D$2:$D$301=D150) * ($E$2:$E$301=E150) *
      ($F$2:$F$301=F150),0)),"yyyy-mm-dd"),
    "Perlu Klarifikasi"
  )
)</f>
        <v>2024-02-11</v>
      </c>
    </row>
    <row r="151" spans="1:7" x14ac:dyDescent="0.3">
      <c r="A151" s="25" t="s">
        <v>90</v>
      </c>
      <c r="B151" t="s">
        <v>109</v>
      </c>
      <c r="C151">
        <v>6.53</v>
      </c>
      <c r="D151">
        <v>9.24</v>
      </c>
      <c r="E151">
        <v>13</v>
      </c>
      <c r="F151">
        <v>28.78</v>
      </c>
      <c r="G151" s="25" t="str" cm="1">
        <f t="array" ref="G151">IF(
  ISNUMBER(DATEVALUE(A151)),
  TEXT(DATEVALUE(A151),"yyyy-mm-dd"),
  IFERROR(
    TEXT(INDEX($A$2:$A$301,MATCH(1,
      ($B$2:$B$301=B151) * ($C$2:$C$301=C151) * ($D$2:$D$301=D151) * ($E$2:$E$301=E151) *
      ($F$2:$F$301=F151),0)),"yyyy-mm-dd"),
    "Perlu Klarifikasi"
  )
)</f>
        <v>2024-02-11</v>
      </c>
    </row>
    <row r="152" spans="1:7" x14ac:dyDescent="0.3">
      <c r="A152" s="25" t="s">
        <v>90</v>
      </c>
      <c r="B152" t="s">
        <v>111</v>
      </c>
      <c r="C152">
        <v>7.47</v>
      </c>
      <c r="D152">
        <v>9.8000000000000007</v>
      </c>
      <c r="E152">
        <v>13</v>
      </c>
      <c r="F152">
        <v>28.51</v>
      </c>
      <c r="G152" s="25" t="str" cm="1">
        <f t="array" ref="G152">IF(
  ISNUMBER(DATEVALUE(A152)),
  TEXT(DATEVALUE(A152),"yyyy-mm-dd"),
  IFERROR(
    TEXT(INDEX($A$2:$A$301,MATCH(1,
      ($B$2:$B$301=B152) * ($C$2:$C$301=C152) * ($D$2:$D$301=D152) * ($E$2:$E$301=E152) *
      ($F$2:$F$301=F152),0)),"yyyy-mm-dd"),
    "Perlu Klarifikasi"
  )
)</f>
        <v>2024-02-11</v>
      </c>
    </row>
    <row r="153" spans="1:7" x14ac:dyDescent="0.3">
      <c r="A153" s="25" t="s">
        <v>90</v>
      </c>
      <c r="B153" t="s">
        <v>111</v>
      </c>
      <c r="C153">
        <v>7.47</v>
      </c>
      <c r="D153">
        <v>9.8000000000000007</v>
      </c>
      <c r="E153">
        <v>13</v>
      </c>
      <c r="F153">
        <v>28.51</v>
      </c>
      <c r="G153" s="25" t="str" cm="1">
        <f t="array" ref="G153">IF(
  ISNUMBER(DATEVALUE(A153)),
  TEXT(DATEVALUE(A153),"yyyy-mm-dd"),
  IFERROR(
    TEXT(INDEX($A$2:$A$301,MATCH(1,
      ($B$2:$B$301=B153) * ($C$2:$C$301=C153) * ($D$2:$D$301=D153) * ($E$2:$E$301=E153) *
      ($F$2:$F$301=F153),0)),"yyyy-mm-dd"),
    "Perlu Klarifikasi"
  )
)</f>
        <v>2024-02-11</v>
      </c>
    </row>
    <row r="154" spans="1:7" x14ac:dyDescent="0.3">
      <c r="A154" s="25" t="s">
        <v>90</v>
      </c>
      <c r="B154" t="s">
        <v>111</v>
      </c>
      <c r="C154">
        <v>7.47</v>
      </c>
      <c r="D154">
        <v>9.8000000000000007</v>
      </c>
      <c r="E154">
        <v>13</v>
      </c>
      <c r="F154">
        <v>28.51</v>
      </c>
      <c r="G154" s="25" t="str" cm="1">
        <f t="array" ref="G154">IF(
  ISNUMBER(DATEVALUE(A154)),
  TEXT(DATEVALUE(A154),"yyyy-mm-dd"),
  IFERROR(
    TEXT(INDEX($A$2:$A$301,MATCH(1,
      ($B$2:$B$301=B154) * ($C$2:$C$301=C154) * ($D$2:$D$301=D154) * ($E$2:$E$301=E154) *
      ($F$2:$F$301=F154),0)),"yyyy-mm-dd"),
    "Perlu Klarifikasi"
  )
)</f>
        <v>2024-02-11</v>
      </c>
    </row>
    <row r="155" spans="1:7" x14ac:dyDescent="0.3">
      <c r="A155" s="25" t="s">
        <v>90</v>
      </c>
      <c r="B155" t="s">
        <v>109</v>
      </c>
      <c r="C155">
        <v>6.53</v>
      </c>
      <c r="D155">
        <v>9.24</v>
      </c>
      <c r="E155">
        <v>13</v>
      </c>
      <c r="F155">
        <v>28.78</v>
      </c>
      <c r="G155" s="25" t="str" cm="1">
        <f t="array" ref="G155">IF(
  ISNUMBER(DATEVALUE(A155)),
  TEXT(DATEVALUE(A155),"yyyy-mm-dd"),
  IFERROR(
    TEXT(INDEX($A$2:$A$301,MATCH(1,
      ($B$2:$B$301=B155) * ($C$2:$C$301=C155) * ($D$2:$D$301=D155) * ($E$2:$E$301=E155) *
      ($F$2:$F$301=F155),0)),"yyyy-mm-dd"),
    "Perlu Klarifikasi"
  )
)</f>
        <v>2024-02-11</v>
      </c>
    </row>
    <row r="156" spans="1:7" x14ac:dyDescent="0.3">
      <c r="A156" s="25" t="s">
        <v>117</v>
      </c>
      <c r="B156" t="s">
        <v>113</v>
      </c>
      <c r="C156">
        <v>4.49</v>
      </c>
      <c r="D156">
        <v>5.22</v>
      </c>
      <c r="E156">
        <v>8</v>
      </c>
      <c r="F156">
        <v>19.25</v>
      </c>
      <c r="G156" s="25" t="str" cm="1">
        <f t="array" ref="G156">IF(
  ISNUMBER(DATEVALUE(A156)),
  TEXT(DATEVALUE(A156),"yyyy-mm-dd"),
  IFERROR(
    TEXT(INDEX($A$2:$A$301,MATCH(1,
      ($B$2:$B$301=B156) * ($C$2:$C$301=C156) * ($D$2:$D$301=D156) * ($E$2:$E$301=E156) *
      ($F$2:$F$301=F156),0)),"yyyy-mm-dd"),
    "Perlu Klarifikasi"
  )
)</f>
        <v>2024-02-13</v>
      </c>
    </row>
    <row r="157" spans="1:7" x14ac:dyDescent="0.3">
      <c r="A157" s="25" t="s">
        <v>117</v>
      </c>
      <c r="B157" t="s">
        <v>111</v>
      </c>
      <c r="C157">
        <v>5.9</v>
      </c>
      <c r="D157">
        <v>6.4</v>
      </c>
      <c r="E157">
        <v>27</v>
      </c>
      <c r="F157">
        <v>80.97</v>
      </c>
      <c r="G157" s="25" t="str" cm="1">
        <f t="array" ref="G157">IF(
  ISNUMBER(DATEVALUE(A157)),
  TEXT(DATEVALUE(A157),"yyyy-mm-dd"),
  IFERROR(
    TEXT(INDEX($A$2:$A$301,MATCH(1,
      ($B$2:$B$301=B157) * ($C$2:$C$301=C157) * ($D$2:$D$301=D157) * ($E$2:$E$301=E157) *
      ($F$2:$F$301=F157),0)),"yyyy-mm-dd"),
    "Perlu Klarifikasi"
  )
)</f>
        <v>2024-02-13</v>
      </c>
    </row>
    <row r="158" spans="1:7" x14ac:dyDescent="0.3">
      <c r="A158" s="25" t="s">
        <v>117</v>
      </c>
      <c r="B158" t="s">
        <v>111</v>
      </c>
      <c r="C158">
        <v>5.9</v>
      </c>
      <c r="D158">
        <v>6.4</v>
      </c>
      <c r="E158">
        <v>27</v>
      </c>
      <c r="F158">
        <v>80.97</v>
      </c>
      <c r="G158" s="25" t="str" cm="1">
        <f t="array" ref="G158">IF(
  ISNUMBER(DATEVALUE(A158)),
  TEXT(DATEVALUE(A158),"yyyy-mm-dd"),
  IFERROR(
    TEXT(INDEX($A$2:$A$301,MATCH(1,
      ($B$2:$B$301=B158) * ($C$2:$C$301=C158) * ($D$2:$D$301=D158) * ($E$2:$E$301=E158) *
      ($F$2:$F$301=F158),0)),"yyyy-mm-dd"),
    "Perlu Klarifikasi"
  )
)</f>
        <v>2024-02-13</v>
      </c>
    </row>
    <row r="159" spans="1:7" x14ac:dyDescent="0.3">
      <c r="A159" s="25" t="s">
        <v>117</v>
      </c>
      <c r="B159" t="s">
        <v>109</v>
      </c>
      <c r="C159">
        <v>2.88</v>
      </c>
      <c r="D159">
        <v>11.86</v>
      </c>
      <c r="E159">
        <v>25</v>
      </c>
      <c r="F159">
        <v>53.93</v>
      </c>
      <c r="G159" s="25" t="str" cm="1">
        <f t="array" ref="G159">IF(
  ISNUMBER(DATEVALUE(A159)),
  TEXT(DATEVALUE(A159),"yyyy-mm-dd"),
  IFERROR(
    TEXT(INDEX($A$2:$A$301,MATCH(1,
      ($B$2:$B$301=B159) * ($C$2:$C$301=C159) * ($D$2:$D$301=D159) * ($E$2:$E$301=E159) *
      ($F$2:$F$301=F159),0)),"yyyy-mm-dd"),
    "Perlu Klarifikasi"
  )
)</f>
        <v>2024-02-13</v>
      </c>
    </row>
    <row r="160" spans="1:7" x14ac:dyDescent="0.3">
      <c r="A160" s="25" t="s">
        <v>117</v>
      </c>
      <c r="B160" t="s">
        <v>109</v>
      </c>
      <c r="C160">
        <v>2.88</v>
      </c>
      <c r="D160">
        <v>11.86</v>
      </c>
      <c r="E160">
        <v>25</v>
      </c>
      <c r="F160">
        <v>53.93</v>
      </c>
      <c r="G160" s="25" t="str" cm="1">
        <f t="array" ref="G160">IF(
  ISNUMBER(DATEVALUE(A160)),
  TEXT(DATEVALUE(A160),"yyyy-mm-dd"),
  IFERROR(
    TEXT(INDEX($A$2:$A$301,MATCH(1,
      ($B$2:$B$301=B160) * ($C$2:$C$301=C160) * ($D$2:$D$301=D160) * ($E$2:$E$301=E160) *
      ($F$2:$F$301=F160),0)),"yyyy-mm-dd"),
    "Perlu Klarifikasi"
  )
)</f>
        <v>2024-02-13</v>
      </c>
    </row>
    <row r="161" spans="1:7" x14ac:dyDescent="0.3">
      <c r="A161" s="25" t="s">
        <v>117</v>
      </c>
      <c r="B161" t="s">
        <v>113</v>
      </c>
      <c r="C161">
        <v>4.49</v>
      </c>
      <c r="D161">
        <v>5.22</v>
      </c>
      <c r="E161">
        <v>8</v>
      </c>
      <c r="F161">
        <v>19.25</v>
      </c>
      <c r="G161" s="25" t="str" cm="1">
        <f t="array" ref="G161">IF(
  ISNUMBER(DATEVALUE(A161)),
  TEXT(DATEVALUE(A161),"yyyy-mm-dd"),
  IFERROR(
    TEXT(INDEX($A$2:$A$301,MATCH(1,
      ($B$2:$B$301=B161) * ($C$2:$C$301=C161) * ($D$2:$D$301=D161) * ($E$2:$E$301=E161) *
      ($F$2:$F$301=F161),0)),"yyyy-mm-dd"),
    "Perlu Klarifikasi"
  )
)</f>
        <v>2024-02-13</v>
      </c>
    </row>
    <row r="162" spans="1:7" x14ac:dyDescent="0.3">
      <c r="A162" s="26" t="s">
        <v>52</v>
      </c>
      <c r="B162" s="22" t="s">
        <v>113</v>
      </c>
      <c r="C162" s="22">
        <v>4.49</v>
      </c>
      <c r="D162" s="22">
        <v>5.22</v>
      </c>
      <c r="E162" s="22">
        <v>8</v>
      </c>
      <c r="F162" s="22">
        <v>19.25</v>
      </c>
      <c r="G162" s="25" t="str" cm="1">
        <f t="array" ref="G162">IF(
  ISNUMBER(DATEVALUE(A162)),
  TEXT(DATEVALUE(A162),"yyyy-mm-dd"),
  IFERROR(
    TEXT(INDEX($A$2:$A$301,MATCH(1,
      ($B$2:$B$301=B162) * ($C$2:$C$301=C162) * ($D$2:$D$301=D162) * ($E$2:$E$301=E162) *
      ($F$2:$F$301=F162),0)),"yyyy-mm-dd"),
    "Perlu Klarifikasi"
  )
)</f>
        <v>2024-02-13</v>
      </c>
    </row>
    <row r="163" spans="1:7" x14ac:dyDescent="0.3">
      <c r="A163" s="25" t="s">
        <v>28</v>
      </c>
      <c r="B163" t="s">
        <v>111</v>
      </c>
      <c r="C163">
        <v>3.77</v>
      </c>
      <c r="D163">
        <v>5.99</v>
      </c>
      <c r="E163">
        <v>28</v>
      </c>
      <c r="F163">
        <v>51.34</v>
      </c>
      <c r="G163" s="25" t="str" cm="1">
        <f t="array" ref="G163">IF(
  ISNUMBER(DATEVALUE(A163)),
  TEXT(DATEVALUE(A163),"yyyy-mm-dd"),
  IFERROR(
    TEXT(INDEX($A$2:$A$301,MATCH(1,
      ($B$2:$B$301=B163) * ($C$2:$C$301=C163) * ($D$2:$D$301=D163) * ($E$2:$E$301=E163) *
      ($F$2:$F$301=F163),0)),"yyyy-mm-dd"),
    "Perlu Klarifikasi"
  )
)</f>
        <v>2024-02-14</v>
      </c>
    </row>
    <row r="164" spans="1:7" x14ac:dyDescent="0.3">
      <c r="A164" s="25" t="s">
        <v>28</v>
      </c>
      <c r="B164" t="s">
        <v>113</v>
      </c>
      <c r="C164">
        <v>3.49</v>
      </c>
      <c r="D164">
        <v>11.86</v>
      </c>
      <c r="E164">
        <v>35</v>
      </c>
      <c r="F164">
        <v>75.45</v>
      </c>
      <c r="G164" s="25" t="str" cm="1">
        <f t="array" ref="G164">IF(
  ISNUMBER(DATEVALUE(A164)),
  TEXT(DATEVALUE(A164),"yyyy-mm-dd"),
  IFERROR(
    TEXT(INDEX($A$2:$A$301,MATCH(1,
      ($B$2:$B$301=B164) * ($C$2:$C$301=C164) * ($D$2:$D$301=D164) * ($E$2:$E$301=E164) *
      ($F$2:$F$301=F164),0)),"yyyy-mm-dd"),
    "Perlu Klarifikasi"
  )
)</f>
        <v>2024-02-14</v>
      </c>
    </row>
    <row r="165" spans="1:7" x14ac:dyDescent="0.3">
      <c r="A165" s="25" t="s">
        <v>28</v>
      </c>
      <c r="B165" t="s">
        <v>111</v>
      </c>
      <c r="C165">
        <v>3.77</v>
      </c>
      <c r="D165">
        <v>5.99</v>
      </c>
      <c r="E165">
        <v>28</v>
      </c>
      <c r="F165">
        <v>51.34</v>
      </c>
      <c r="G165" s="25" t="str" cm="1">
        <f t="array" ref="G165">IF(
  ISNUMBER(DATEVALUE(A165)),
  TEXT(DATEVALUE(A165),"yyyy-mm-dd"),
  IFERROR(
    TEXT(INDEX($A$2:$A$301,MATCH(1,
      ($B$2:$B$301=B165) * ($C$2:$C$301=C165) * ($D$2:$D$301=D165) * ($E$2:$E$301=E165) *
      ($F$2:$F$301=F165),0)),"yyyy-mm-dd"),
    "Perlu Klarifikasi"
  )
)</f>
        <v>2024-02-14</v>
      </c>
    </row>
    <row r="166" spans="1:7" x14ac:dyDescent="0.3">
      <c r="A166" s="25" t="s">
        <v>28</v>
      </c>
      <c r="B166" t="s">
        <v>113</v>
      </c>
      <c r="C166">
        <v>3.49</v>
      </c>
      <c r="D166">
        <v>11.86</v>
      </c>
      <c r="E166">
        <v>35</v>
      </c>
      <c r="F166">
        <v>75.45</v>
      </c>
      <c r="G166" s="25" t="str" cm="1">
        <f t="array" ref="G166">IF(
  ISNUMBER(DATEVALUE(A166)),
  TEXT(DATEVALUE(A166),"yyyy-mm-dd"),
  IFERROR(
    TEXT(INDEX($A$2:$A$301,MATCH(1,
      ($B$2:$B$301=B166) * ($C$2:$C$301=C166) * ($D$2:$D$301=D166) * ($E$2:$E$301=E166) *
      ($F$2:$F$301=F166),0)),"yyyy-mm-dd"),
    "Perlu Klarifikasi"
  )
)</f>
        <v>2024-02-14</v>
      </c>
    </row>
    <row r="167" spans="1:7" x14ac:dyDescent="0.3">
      <c r="A167" s="25" t="s">
        <v>28</v>
      </c>
      <c r="B167" t="s">
        <v>113</v>
      </c>
      <c r="C167">
        <v>3.49</v>
      </c>
      <c r="D167">
        <v>11.86</v>
      </c>
      <c r="E167">
        <v>35</v>
      </c>
      <c r="F167">
        <v>75.45</v>
      </c>
      <c r="G167" s="25" t="str" cm="1">
        <f t="array" ref="G167">IF(
  ISNUMBER(DATEVALUE(A167)),
  TEXT(DATEVALUE(A167),"yyyy-mm-dd"),
  IFERROR(
    TEXT(INDEX($A$2:$A$301,MATCH(1,
      ($B$2:$B$301=B167) * ($C$2:$C$301=C167) * ($D$2:$D$301=D167) * ($E$2:$E$301=E167) *
      ($F$2:$F$301=F167),0)),"yyyy-mm-dd"),
    "Perlu Klarifikasi"
  )
)</f>
        <v>2024-02-14</v>
      </c>
    </row>
    <row r="168" spans="1:7" x14ac:dyDescent="0.3">
      <c r="A168" s="26" t="s">
        <v>52</v>
      </c>
      <c r="B168" s="22" t="s">
        <v>111</v>
      </c>
      <c r="C168" s="22">
        <v>2.82</v>
      </c>
      <c r="D168" s="22">
        <v>13.83</v>
      </c>
      <c r="E168" s="22">
        <v>22</v>
      </c>
      <c r="F168" s="22">
        <f>MEDIAN(F163,F165,F169)</f>
        <v>51.34</v>
      </c>
      <c r="G168" s="25" t="str" cm="1">
        <f t="array" ref="G168">TEXT(
  MEDIAN(
    IF(
      ($B$2:$B$301=B168) * ISNUMBER(DATEVALUE($A$2:$A$301)),
      DATEVALUE($A$2:$A$301)
    )
  ),
  "yyyy-mm-dd"
)</f>
        <v>2024-02-14</v>
      </c>
    </row>
    <row r="169" spans="1:7" x14ac:dyDescent="0.3">
      <c r="A169" s="26" t="s">
        <v>52</v>
      </c>
      <c r="B169" s="22" t="s">
        <v>111</v>
      </c>
      <c r="C169" s="22">
        <v>5.23</v>
      </c>
      <c r="D169" s="22">
        <v>14.16</v>
      </c>
      <c r="E169" s="22">
        <v>16</v>
      </c>
      <c r="F169" s="22">
        <v>33.57</v>
      </c>
      <c r="G169" s="25" t="str" cm="1">
        <f t="array" ref="G169">TEXT(
  MEDIAN(
    IF(
      ($B$2:$B$301=B169) * ISNUMBER(DATEVALUE($A$2:$A$301)),
      DATEVALUE($A$2:$A$301)
    )
  ),
  "yyyy-mm-dd"
)</f>
        <v>2024-02-14</v>
      </c>
    </row>
    <row r="170" spans="1:7" x14ac:dyDescent="0.3">
      <c r="A170" s="25" t="s">
        <v>123</v>
      </c>
      <c r="B170" t="s">
        <v>108</v>
      </c>
      <c r="C170">
        <v>2.42</v>
      </c>
      <c r="D170">
        <v>14.54</v>
      </c>
      <c r="E170">
        <v>25</v>
      </c>
      <c r="F170">
        <v>48.11</v>
      </c>
      <c r="G170" s="25" t="str" cm="1">
        <f t="array" ref="G170">IF(
  ISNUMBER(DATEVALUE(A170)),
  TEXT(DATEVALUE(A170),"yyyy-mm-dd"),
  IFERROR(
    TEXT(INDEX($A$2:$A$301,MATCH(1,
      ($B$2:$B$301=B170) * ($C$2:$C$301=C170) * ($D$2:$D$301=D170) * ($E$2:$E$301=E170) *
      ($F$2:$F$301=F170),0)),"yyyy-mm-dd"),
    "Perlu Klarifikasi"
  )
)</f>
        <v>2024-02-15</v>
      </c>
    </row>
    <row r="171" spans="1:7" x14ac:dyDescent="0.3">
      <c r="A171" s="25" t="s">
        <v>123</v>
      </c>
      <c r="B171" t="s">
        <v>108</v>
      </c>
      <c r="C171">
        <v>2.42</v>
      </c>
      <c r="D171">
        <v>14.54</v>
      </c>
      <c r="E171">
        <v>25</v>
      </c>
      <c r="F171">
        <v>48.11</v>
      </c>
      <c r="G171" s="25" t="str" cm="1">
        <f t="array" ref="G171">IF(
  ISNUMBER(DATEVALUE(A171)),
  TEXT(DATEVALUE(A171),"yyyy-mm-dd"),
  IFERROR(
    TEXT(INDEX($A$2:$A$301,MATCH(1,
      ($B$2:$B$301=B171) * ($C$2:$C$301=C171) * ($D$2:$D$301=D171) * ($E$2:$E$301=E171) *
      ($F$2:$F$301=F171),0)),"yyyy-mm-dd"),
    "Perlu Klarifikasi"
  )
)</f>
        <v>2024-02-15</v>
      </c>
    </row>
    <row r="172" spans="1:7" x14ac:dyDescent="0.3">
      <c r="A172" s="25" t="s">
        <v>123</v>
      </c>
      <c r="B172" t="s">
        <v>108</v>
      </c>
      <c r="C172">
        <v>2.42</v>
      </c>
      <c r="D172">
        <v>14.54</v>
      </c>
      <c r="E172">
        <v>25</v>
      </c>
      <c r="F172">
        <v>48.11</v>
      </c>
      <c r="G172" s="25" t="str" cm="1">
        <f t="array" ref="G172">IF(
  ISNUMBER(DATEVALUE(A172)),
  TEXT(DATEVALUE(A172),"yyyy-mm-dd"),
  IFERROR(
    TEXT(INDEX($A$2:$A$301,MATCH(1,
      ($B$2:$B$301=B172) * ($C$2:$C$301=C172) * ($D$2:$D$301=D172) * ($E$2:$E$301=E172) *
      ($F$2:$F$301=F172),0)),"yyyy-mm-dd"),
    "Perlu Klarifikasi"
  )
)</f>
        <v>2024-02-15</v>
      </c>
    </row>
    <row r="173" spans="1:7" x14ac:dyDescent="0.3">
      <c r="A173" s="25" t="s">
        <v>123</v>
      </c>
      <c r="B173" t="s">
        <v>113</v>
      </c>
      <c r="C173">
        <v>6.27</v>
      </c>
      <c r="D173">
        <v>14.24</v>
      </c>
      <c r="E173">
        <v>29</v>
      </c>
      <c r="F173">
        <v>94.28</v>
      </c>
      <c r="G173" s="25" t="str" cm="1">
        <f t="array" ref="G173">IF(
  ISNUMBER(DATEVALUE(A173)),
  TEXT(DATEVALUE(A173),"yyyy-mm-dd"),
  IFERROR(
    TEXT(INDEX($A$2:$A$301,MATCH(1,
      ($B$2:$B$301=B173) * ($C$2:$C$301=C173) * ($D$2:$D$301=D173) * ($E$2:$E$301=E173) *
      ($F$2:$F$301=F173),0)),"yyyy-mm-dd"),
    "Perlu Klarifikasi"
  )
)</f>
        <v>2024-02-15</v>
      </c>
    </row>
    <row r="174" spans="1:7" x14ac:dyDescent="0.3">
      <c r="A174" s="25" t="s">
        <v>123</v>
      </c>
      <c r="B174" t="s">
        <v>108</v>
      </c>
      <c r="C174">
        <v>2.42</v>
      </c>
      <c r="D174">
        <v>14.54</v>
      </c>
      <c r="E174">
        <v>25</v>
      </c>
      <c r="F174">
        <v>48.11</v>
      </c>
      <c r="G174" s="25" t="str" cm="1">
        <f t="array" ref="G174">IF(
  ISNUMBER(DATEVALUE(A174)),
  TEXT(DATEVALUE(A174),"yyyy-mm-dd"),
  IFERROR(
    TEXT(INDEX($A$2:$A$301,MATCH(1,
      ($B$2:$B$301=B174) * ($C$2:$C$301=C174) * ($D$2:$D$301=D174) * ($E$2:$E$301=E174) *
      ($F$2:$F$301=F174),0)),"yyyy-mm-dd"),
    "Perlu Klarifikasi"
  )
)</f>
        <v>2024-02-15</v>
      </c>
    </row>
    <row r="175" spans="1:7" x14ac:dyDescent="0.3">
      <c r="A175" s="25" t="s">
        <v>56</v>
      </c>
      <c r="B175" t="s">
        <v>111</v>
      </c>
      <c r="C175">
        <v>6.58</v>
      </c>
      <c r="D175">
        <v>6.43</v>
      </c>
      <c r="E175">
        <v>16</v>
      </c>
      <c r="F175">
        <v>38.409999999999997</v>
      </c>
      <c r="G175" s="25" t="str" cm="1">
        <f t="array" ref="G175">IF(
  ISNUMBER(DATEVALUE(A175)),
  TEXT(DATEVALUE(A175),"yyyy-mm-dd"),
  IFERROR(
    TEXT(INDEX($A$2:$A$301,MATCH(1,
      ($B$2:$B$301=B175) * ($C$2:$C$301=C175) * ($D$2:$D$301=D175) * ($E$2:$E$301=E175) *
      ($F$2:$F$301=F175),0)),"yyyy-mm-dd"),
    "Perlu Klarifikasi"
  )
)</f>
        <v>2024-02-16</v>
      </c>
    </row>
    <row r="176" spans="1:7" x14ac:dyDescent="0.3">
      <c r="A176" s="25" t="s">
        <v>35</v>
      </c>
      <c r="B176" t="s">
        <v>115</v>
      </c>
      <c r="C176">
        <v>3.74</v>
      </c>
      <c r="D176">
        <v>12.17</v>
      </c>
      <c r="E176">
        <v>13</v>
      </c>
      <c r="F176">
        <v>40.98</v>
      </c>
      <c r="G176" s="25" t="str" cm="1">
        <f t="array" ref="G176">IF(
  ISNUMBER(DATEVALUE(A176)),
  TEXT(DATEVALUE(A176),"yyyy-mm-dd"),
  IFERROR(
    TEXT(INDEX($A$2:$A$301,MATCH(1,
      ($B$2:$B$301=B176) * ($C$2:$C$301=C176) * ($D$2:$D$301=D176) * ($E$2:$E$301=E176) *
      ($F$2:$F$301=F176),0)),"yyyy-mm-dd"),
    "Perlu Klarifikasi"
  )
)</f>
        <v>2024-02-17</v>
      </c>
    </row>
    <row r="177" spans="1:7" x14ac:dyDescent="0.3">
      <c r="A177" s="25" t="s">
        <v>35</v>
      </c>
      <c r="B177" t="s">
        <v>108</v>
      </c>
      <c r="C177">
        <v>7.4</v>
      </c>
      <c r="D177">
        <v>10.69</v>
      </c>
      <c r="E177">
        <v>11</v>
      </c>
      <c r="F177">
        <v>35.020000000000003</v>
      </c>
      <c r="G177" s="25" t="str" cm="1">
        <f t="array" ref="G177">IF(
  ISNUMBER(DATEVALUE(A177)),
  TEXT(DATEVALUE(A177),"yyyy-mm-dd"),
  IFERROR(
    TEXT(INDEX($A$2:$A$301,MATCH(1,
      ($B$2:$B$301=B177) * ($C$2:$C$301=C177) * ($D$2:$D$301=D177) * ($E$2:$E$301=E177) *
      ($F$2:$F$301=F177),0)),"yyyy-mm-dd"),
    "Perlu Klarifikasi"
  )
)</f>
        <v>2024-02-17</v>
      </c>
    </row>
    <row r="178" spans="1:7" x14ac:dyDescent="0.3">
      <c r="A178" s="25" t="s">
        <v>35</v>
      </c>
      <c r="B178" t="s">
        <v>108</v>
      </c>
      <c r="C178">
        <v>7.4</v>
      </c>
      <c r="D178">
        <v>10.69</v>
      </c>
      <c r="E178">
        <v>11</v>
      </c>
      <c r="F178">
        <v>35.020000000000003</v>
      </c>
      <c r="G178" s="25" t="str" cm="1">
        <f t="array" ref="G178">IF(
  ISNUMBER(DATEVALUE(A178)),
  TEXT(DATEVALUE(A178),"yyyy-mm-dd"),
  IFERROR(
    TEXT(INDEX($A$2:$A$301,MATCH(1,
      ($B$2:$B$301=B178) * ($C$2:$C$301=C178) * ($D$2:$D$301=D178) * ($E$2:$E$301=E178) *
      ($F$2:$F$301=F178),0)),"yyyy-mm-dd"),
    "Perlu Klarifikasi"
  )
)</f>
        <v>2024-02-17</v>
      </c>
    </row>
    <row r="179" spans="1:7" x14ac:dyDescent="0.3">
      <c r="A179" s="25" t="s">
        <v>35</v>
      </c>
      <c r="B179" t="s">
        <v>109</v>
      </c>
      <c r="C179">
        <v>4.63</v>
      </c>
      <c r="D179">
        <v>13</v>
      </c>
      <c r="E179">
        <v>31</v>
      </c>
      <c r="F179">
        <v>77.08</v>
      </c>
      <c r="G179" s="25" t="str" cm="1">
        <f t="array" ref="G179">IF(
  ISNUMBER(DATEVALUE(A179)),
  TEXT(DATEVALUE(A179),"yyyy-mm-dd"),
  IFERROR(
    TEXT(INDEX($A$2:$A$301,MATCH(1,
      ($B$2:$B$301=B179) * ($C$2:$C$301=C179) * ($D$2:$D$301=D179) * ($E$2:$E$301=E179) *
      ($F$2:$F$301=F179),0)),"yyyy-mm-dd"),
    "Perlu Klarifikasi"
  )
)</f>
        <v>2024-02-17</v>
      </c>
    </row>
    <row r="180" spans="1:7" x14ac:dyDescent="0.3">
      <c r="A180" s="25" t="s">
        <v>35</v>
      </c>
      <c r="B180" t="s">
        <v>115</v>
      </c>
      <c r="C180">
        <v>3.74</v>
      </c>
      <c r="D180">
        <v>12.17</v>
      </c>
      <c r="E180">
        <v>13</v>
      </c>
      <c r="F180">
        <v>40.98</v>
      </c>
      <c r="G180" s="25" t="str" cm="1">
        <f t="array" ref="G180">IF(
  ISNUMBER(DATEVALUE(A180)),
  TEXT(DATEVALUE(A180),"yyyy-mm-dd"),
  IFERROR(
    TEXT(INDEX($A$2:$A$301,MATCH(1,
      ($B$2:$B$301=B180) * ($C$2:$C$301=C180) * ($D$2:$D$301=D180) * ($E$2:$E$301=E180) *
      ($F$2:$F$301=F180),0)),"yyyy-mm-dd"),
    "Perlu Klarifikasi"
  )
)</f>
        <v>2024-02-17</v>
      </c>
    </row>
    <row r="181" spans="1:7" x14ac:dyDescent="0.3">
      <c r="A181" s="25" t="s">
        <v>35</v>
      </c>
      <c r="B181" t="s">
        <v>108</v>
      </c>
      <c r="C181">
        <v>7.4</v>
      </c>
      <c r="D181">
        <v>10.69</v>
      </c>
      <c r="E181">
        <v>11</v>
      </c>
      <c r="F181">
        <v>35.020000000000003</v>
      </c>
      <c r="G181" s="25" t="str" cm="1">
        <f t="array" ref="G181">IF(
  ISNUMBER(DATEVALUE(A181)),
  TEXT(DATEVALUE(A181),"yyyy-mm-dd"),
  IFERROR(
    TEXT(INDEX($A$2:$A$301,MATCH(1,
      ($B$2:$B$301=B181) * ($C$2:$C$301=C181) * ($D$2:$D$301=D181) * ($E$2:$E$301=E181) *
      ($F$2:$F$301=F181),0)),"yyyy-mm-dd"),
    "Perlu Klarifikasi"
  )
)</f>
        <v>2024-02-17</v>
      </c>
    </row>
    <row r="182" spans="1:7" x14ac:dyDescent="0.3">
      <c r="A182" s="25" t="s">
        <v>35</v>
      </c>
      <c r="B182" t="s">
        <v>108</v>
      </c>
      <c r="C182">
        <v>7.4</v>
      </c>
      <c r="D182">
        <v>10.69</v>
      </c>
      <c r="E182">
        <v>11</v>
      </c>
      <c r="F182">
        <v>35.020000000000003</v>
      </c>
      <c r="G182" s="25" t="str" cm="1">
        <f t="array" ref="G182">IF(
  ISNUMBER(DATEVALUE(A182)),
  TEXT(DATEVALUE(A182),"yyyy-mm-dd"),
  IFERROR(
    TEXT(INDEX($A$2:$A$301,MATCH(1,
      ($B$2:$B$301=B182) * ($C$2:$C$301=C182) * ($D$2:$D$301=D182) * ($E$2:$E$301=E182) *
      ($F$2:$F$301=F182),0)),"yyyy-mm-dd"),
    "Perlu Klarifikasi"
  )
)</f>
        <v>2024-02-17</v>
      </c>
    </row>
    <row r="183" spans="1:7" x14ac:dyDescent="0.3">
      <c r="A183" s="25" t="s">
        <v>35</v>
      </c>
      <c r="B183" t="s">
        <v>108</v>
      </c>
      <c r="C183">
        <v>7.4</v>
      </c>
      <c r="D183">
        <v>10.69</v>
      </c>
      <c r="E183">
        <v>11</v>
      </c>
      <c r="F183">
        <v>35.020000000000003</v>
      </c>
      <c r="G183" s="25" t="str" cm="1">
        <f t="array" ref="G183">IF(
  ISNUMBER(DATEVALUE(A183)),
  TEXT(DATEVALUE(A183),"yyyy-mm-dd"),
  IFERROR(
    TEXT(INDEX($A$2:$A$301,MATCH(1,
      ($B$2:$B$301=B183) * ($C$2:$C$301=C183) * ($D$2:$D$301=D183) * ($E$2:$E$301=E183) *
      ($F$2:$F$301=F183),0)),"yyyy-mm-dd"),
    "Perlu Klarifikasi"
  )
)</f>
        <v>2024-02-17</v>
      </c>
    </row>
    <row r="184" spans="1:7" x14ac:dyDescent="0.3">
      <c r="A184" s="25" t="s">
        <v>67</v>
      </c>
      <c r="B184" t="s">
        <v>111</v>
      </c>
      <c r="C184">
        <v>2.2999999999999998</v>
      </c>
      <c r="D184">
        <v>5.9</v>
      </c>
      <c r="E184">
        <v>16</v>
      </c>
      <c r="F184">
        <v>31.5</v>
      </c>
      <c r="G184" s="25" t="str" cm="1">
        <f t="array" ref="G184">IF(
  ISNUMBER(DATEVALUE(A184)),
  TEXT(DATEVALUE(A184),"yyyy-mm-dd"),
  IFERROR(
    TEXT(INDEX($A$2:$A$301,MATCH(1,
      ($B$2:$B$301=B184) * ($C$2:$C$301=C184) * ($D$2:$D$301=D184) * ($E$2:$E$301=E184) *
      ($F$2:$F$301=F184),0)),"yyyy-mm-dd"),
    "Perlu Klarifikasi"
  )
)</f>
        <v>2024-02-18</v>
      </c>
    </row>
    <row r="185" spans="1:7" x14ac:dyDescent="0.3">
      <c r="A185" s="25" t="s">
        <v>67</v>
      </c>
      <c r="B185" t="s">
        <v>111</v>
      </c>
      <c r="C185">
        <v>2.2999999999999998</v>
      </c>
      <c r="D185">
        <v>5.9</v>
      </c>
      <c r="E185">
        <v>16</v>
      </c>
      <c r="F185">
        <v>31.5</v>
      </c>
      <c r="G185" s="25" t="str" cm="1">
        <f t="array" ref="G185">IF(
  ISNUMBER(DATEVALUE(A185)),
  TEXT(DATEVALUE(A185),"yyyy-mm-dd"),
  IFERROR(
    TEXT(INDEX($A$2:$A$301,MATCH(1,
      ($B$2:$B$301=B185) * ($C$2:$C$301=C185) * ($D$2:$D$301=D185) * ($E$2:$E$301=E185) *
      ($F$2:$F$301=F185),0)),"yyyy-mm-dd"),
    "Perlu Klarifikasi"
  )
)</f>
        <v>2024-02-18</v>
      </c>
    </row>
    <row r="186" spans="1:7" x14ac:dyDescent="0.3">
      <c r="A186" s="25" t="s">
        <v>67</v>
      </c>
      <c r="B186" t="s">
        <v>111</v>
      </c>
      <c r="C186">
        <v>2.2999999999999998</v>
      </c>
      <c r="D186">
        <v>5.9</v>
      </c>
      <c r="E186">
        <v>16</v>
      </c>
      <c r="F186">
        <v>31.5</v>
      </c>
      <c r="G186" s="25" t="str" cm="1">
        <f t="array" ref="G186">IF(
  ISNUMBER(DATEVALUE(A186)),
  TEXT(DATEVALUE(A186),"yyyy-mm-dd"),
  IFERROR(
    TEXT(INDEX($A$2:$A$301,MATCH(1,
      ($B$2:$B$301=B186) * ($C$2:$C$301=C186) * ($D$2:$D$301=D186) * ($E$2:$E$301=E186) *
      ($F$2:$F$301=F186),0)),"yyyy-mm-dd"),
    "Perlu Klarifikasi"
  )
)</f>
        <v>2024-02-18</v>
      </c>
    </row>
    <row r="187" spans="1:7" x14ac:dyDescent="0.3">
      <c r="A187" s="25" t="s">
        <v>94</v>
      </c>
      <c r="B187" t="s">
        <v>113</v>
      </c>
      <c r="C187">
        <v>3.16</v>
      </c>
      <c r="D187">
        <v>7.9</v>
      </c>
      <c r="E187">
        <v>13</v>
      </c>
      <c r="F187">
        <v>29.83</v>
      </c>
      <c r="G187" s="25" t="str" cm="1">
        <f t="array" ref="G187">IF(
  ISNUMBER(DATEVALUE(A187)),
  TEXT(DATEVALUE(A187),"yyyy-mm-dd"),
  IFERROR(
    TEXT(INDEX($A$2:$A$301,MATCH(1,
      ($B$2:$B$301=B187) * ($C$2:$C$301=C187) * ($D$2:$D$301=D187) * ($E$2:$E$301=E187) *
      ($F$2:$F$301=F187),0)),"yyyy-mm-dd"),
    "Perlu Klarifikasi"
  )
)</f>
        <v>2024-02-19</v>
      </c>
    </row>
    <row r="188" spans="1:7" x14ac:dyDescent="0.3">
      <c r="A188" s="25" t="s">
        <v>94</v>
      </c>
      <c r="B188" t="s">
        <v>113</v>
      </c>
      <c r="C188">
        <v>6.67</v>
      </c>
      <c r="D188">
        <v>6.66</v>
      </c>
      <c r="E188">
        <v>9</v>
      </c>
      <c r="F188">
        <v>27.63</v>
      </c>
      <c r="G188" s="25" t="str" cm="1">
        <f t="array" ref="G188">IF(
  ISNUMBER(DATEVALUE(A188)),
  TEXT(DATEVALUE(A188),"yyyy-mm-dd"),
  IFERROR(
    TEXT(INDEX($A$2:$A$301,MATCH(1,
      ($B$2:$B$301=B188) * ($C$2:$C$301=C188) * ($D$2:$D$301=D188) * ($E$2:$E$301=E188) *
      ($F$2:$F$301=F188),0)),"yyyy-mm-dd"),
    "Perlu Klarifikasi"
  )
)</f>
        <v>2024-02-19</v>
      </c>
    </row>
    <row r="189" spans="1:7" x14ac:dyDescent="0.3">
      <c r="A189" s="25" t="s">
        <v>94</v>
      </c>
      <c r="B189" t="s">
        <v>113</v>
      </c>
      <c r="C189">
        <v>3.16</v>
      </c>
      <c r="D189">
        <v>7.9</v>
      </c>
      <c r="E189">
        <v>13</v>
      </c>
      <c r="F189">
        <v>29.83</v>
      </c>
      <c r="G189" s="25" t="str" cm="1">
        <f t="array" ref="G189">IF(
  ISNUMBER(DATEVALUE(A189)),
  TEXT(DATEVALUE(A189),"yyyy-mm-dd"),
  IFERROR(
    TEXT(INDEX($A$2:$A$301,MATCH(1,
      ($B$2:$B$301=B189) * ($C$2:$C$301=C189) * ($D$2:$D$301=D189) * ($E$2:$E$301=E189) *
      ($F$2:$F$301=F189),0)),"yyyy-mm-dd"),
    "Perlu Klarifikasi"
  )
)</f>
        <v>2024-02-19</v>
      </c>
    </row>
    <row r="190" spans="1:7" x14ac:dyDescent="0.3">
      <c r="A190" s="25" t="s">
        <v>94</v>
      </c>
      <c r="B190" t="s">
        <v>113</v>
      </c>
      <c r="C190">
        <v>6.67</v>
      </c>
      <c r="D190">
        <v>6.66</v>
      </c>
      <c r="E190">
        <v>9</v>
      </c>
      <c r="F190">
        <v>27.63</v>
      </c>
      <c r="G190" s="25" t="str" cm="1">
        <f t="array" ref="G190">IF(
  ISNUMBER(DATEVALUE(A190)),
  TEXT(DATEVALUE(A190),"yyyy-mm-dd"),
  IFERROR(
    TEXT(INDEX($A$2:$A$301,MATCH(1,
      ($B$2:$B$301=B190) * ($C$2:$C$301=C190) * ($D$2:$D$301=D190) * ($E$2:$E$301=E190) *
      ($F$2:$F$301=F190),0)),"yyyy-mm-dd"),
    "Perlu Klarifikasi"
  )
)</f>
        <v>2024-02-19</v>
      </c>
    </row>
    <row r="191" spans="1:7" x14ac:dyDescent="0.3">
      <c r="A191" s="25" t="s">
        <v>94</v>
      </c>
      <c r="B191" t="s">
        <v>113</v>
      </c>
      <c r="C191">
        <v>3.01</v>
      </c>
      <c r="D191">
        <v>11.29</v>
      </c>
      <c r="E191">
        <v>13</v>
      </c>
      <c r="F191">
        <v>42.39</v>
      </c>
      <c r="G191" s="25" t="str" cm="1">
        <f t="array" ref="G191">IF(
  ISNUMBER(DATEVALUE(A191)),
  TEXT(DATEVALUE(A191),"yyyy-mm-dd"),
  IFERROR(
    TEXT(INDEX($A$2:$A$301,MATCH(1,
      ($B$2:$B$301=B191) * ($C$2:$C$301=C191) * ($D$2:$D$301=D191) * ($E$2:$E$301=E191) *
      ($F$2:$F$301=F191),0)),"yyyy-mm-dd"),
    "Perlu Klarifikasi"
  )
)</f>
        <v>2024-02-19</v>
      </c>
    </row>
    <row r="192" spans="1:7" x14ac:dyDescent="0.3">
      <c r="A192" s="25" t="s">
        <v>127</v>
      </c>
      <c r="B192" t="s">
        <v>109</v>
      </c>
      <c r="C192">
        <v>2.54</v>
      </c>
      <c r="D192">
        <v>9.1300000000000008</v>
      </c>
      <c r="E192">
        <v>41</v>
      </c>
      <c r="F192">
        <v>109.91</v>
      </c>
      <c r="G192" s="25" t="str" cm="1">
        <f t="array" ref="G192">IF(
  ISNUMBER(DATEVALUE(A192)),
  TEXT(DATEVALUE(A192),"yyyy-mm-dd"),
  IFERROR(
    TEXT(INDEX($A$2:$A$301,MATCH(1,
      ($B$2:$B$301=B192) * ($C$2:$C$301=C192) * ($D$2:$D$301=D192) * ($E$2:$E$301=E192) *
      ($F$2:$F$301=F192),0)),"yyyy-mm-dd"),
    "Perlu Klarifikasi"
  )
)</f>
        <v>2024-02-20</v>
      </c>
    </row>
    <row r="193" spans="1:7" x14ac:dyDescent="0.3">
      <c r="A193" s="25" t="s">
        <v>124</v>
      </c>
      <c r="B193" t="s">
        <v>115</v>
      </c>
      <c r="C193">
        <v>2.8</v>
      </c>
      <c r="D193">
        <v>9.44</v>
      </c>
      <c r="E193">
        <v>42</v>
      </c>
      <c r="F193" s="22">
        <f>F194</f>
        <v>84.3</v>
      </c>
      <c r="G193" s="25" t="str" cm="1">
        <f t="array" ref="G193">IF(
  ISNUMBER(DATEVALUE(A193)),
  TEXT(DATEVALUE(A193),"yyyy-mm-dd"),
  IFERROR(
    TEXT(INDEX($A$2:$A$301,MATCH(1,
      ($B$2:$B$301=B193) * ($C$2:$C$301=C193) * ($D$2:$D$301=D193) * ($E$2:$E$301=E193) *
      ($F$2:$F$301=F193),0)),"yyyy-mm-dd"),
    "Perlu Klarifikasi"
  )
)</f>
        <v>2024-02-21</v>
      </c>
    </row>
    <row r="194" spans="1:7" x14ac:dyDescent="0.3">
      <c r="A194" s="25" t="s">
        <v>124</v>
      </c>
      <c r="B194" t="s">
        <v>115</v>
      </c>
      <c r="C194">
        <v>2.8</v>
      </c>
      <c r="D194">
        <v>9.44</v>
      </c>
      <c r="E194">
        <v>42</v>
      </c>
      <c r="F194">
        <v>84.3</v>
      </c>
      <c r="G194" s="25" t="str" cm="1">
        <f t="array" ref="G194">IF(
  ISNUMBER(DATEVALUE(A194)),
  TEXT(DATEVALUE(A194),"yyyy-mm-dd"),
  IFERROR(
    TEXT(INDEX($A$2:$A$301,MATCH(1,
      ($B$2:$B$301=B194) * ($C$2:$C$301=C194) * ($D$2:$D$301=D194) * ($E$2:$E$301=E194) *
      ($F$2:$F$301=F194),0)),"yyyy-mm-dd"),
    "Perlu Klarifikasi"
  )
)</f>
        <v>2024-02-21</v>
      </c>
    </row>
    <row r="195" spans="1:7" x14ac:dyDescent="0.3">
      <c r="A195" s="25" t="s">
        <v>97</v>
      </c>
      <c r="B195" t="s">
        <v>108</v>
      </c>
      <c r="C195">
        <v>3.56</v>
      </c>
      <c r="D195">
        <v>6.47</v>
      </c>
      <c r="E195">
        <v>40</v>
      </c>
      <c r="F195">
        <v>105.07</v>
      </c>
      <c r="G195" s="25" t="str" cm="1">
        <f t="array" ref="G195">IF(
  ISNUMBER(DATEVALUE(A195)),
  TEXT(DATEVALUE(A195),"yyyy-mm-dd"),
  IFERROR(
    TEXT(INDEX($A$2:$A$301,MATCH(1,
      ($B$2:$B$301=B195) * ($C$2:$C$301=C195) * ($D$2:$D$301=D195) * ($E$2:$E$301=E195) *
      ($F$2:$F$301=F195),0)),"yyyy-mm-dd"),
    "Perlu Klarifikasi"
  )
)</f>
        <v>2024-02-22</v>
      </c>
    </row>
    <row r="196" spans="1:7" x14ac:dyDescent="0.3">
      <c r="A196" s="25" t="s">
        <v>97</v>
      </c>
      <c r="B196" t="s">
        <v>108</v>
      </c>
      <c r="C196">
        <v>5.96</v>
      </c>
      <c r="D196">
        <v>9.15</v>
      </c>
      <c r="E196">
        <v>15</v>
      </c>
      <c r="F196">
        <v>31.66</v>
      </c>
      <c r="G196" s="25" t="str" cm="1">
        <f t="array" ref="G196">IF(
  ISNUMBER(DATEVALUE(A196)),
  TEXT(DATEVALUE(A196),"yyyy-mm-dd"),
  IFERROR(
    TEXT(INDEX($A$2:$A$301,MATCH(1,
      ($B$2:$B$301=B196) * ($C$2:$C$301=C196) * ($D$2:$D$301=D196) * ($E$2:$E$301=E196) *
      ($F$2:$F$301=F196),0)),"yyyy-mm-dd"),
    "Perlu Klarifikasi"
  )
)</f>
        <v>2024-02-22</v>
      </c>
    </row>
    <row r="197" spans="1:7" x14ac:dyDescent="0.3">
      <c r="A197" s="25" t="s">
        <v>97</v>
      </c>
      <c r="B197" t="s">
        <v>108</v>
      </c>
      <c r="C197">
        <v>5.96</v>
      </c>
      <c r="D197">
        <v>9.15</v>
      </c>
      <c r="E197">
        <v>15</v>
      </c>
      <c r="F197">
        <v>31.66</v>
      </c>
      <c r="G197" s="25" t="str" cm="1">
        <f t="array" ref="G197">IF(
  ISNUMBER(DATEVALUE(A197)),
  TEXT(DATEVALUE(A197),"yyyy-mm-dd"),
  IFERROR(
    TEXT(INDEX($A$2:$A$301,MATCH(1,
      ($B$2:$B$301=B197) * ($C$2:$C$301=C197) * ($D$2:$D$301=D197) * ($E$2:$E$301=E197) *
      ($F$2:$F$301=F197),0)),"yyyy-mm-dd"),
    "Perlu Klarifikasi"
  )
)</f>
        <v>2024-02-22</v>
      </c>
    </row>
    <row r="198" spans="1:7" x14ac:dyDescent="0.3">
      <c r="A198" s="25" t="s">
        <v>97</v>
      </c>
      <c r="B198" t="s">
        <v>108</v>
      </c>
      <c r="C198">
        <v>3.56</v>
      </c>
      <c r="D198">
        <v>6.47</v>
      </c>
      <c r="E198">
        <v>40</v>
      </c>
      <c r="F198">
        <v>105.07</v>
      </c>
      <c r="G198" s="25" t="str" cm="1">
        <f t="array" ref="G198">IF(
  ISNUMBER(DATEVALUE(A198)),
  TEXT(DATEVALUE(A198),"yyyy-mm-dd"),
  IFERROR(
    TEXT(INDEX($A$2:$A$301,MATCH(1,
      ($B$2:$B$301=B198) * ($C$2:$C$301=C198) * ($D$2:$D$301=D198) * ($E$2:$E$301=E198) *
      ($F$2:$F$301=F198),0)),"yyyy-mm-dd"),
    "Perlu Klarifikasi"
  )
)</f>
        <v>2024-02-22</v>
      </c>
    </row>
    <row r="199" spans="1:7" x14ac:dyDescent="0.3">
      <c r="A199" s="25" t="s">
        <v>97</v>
      </c>
      <c r="B199" t="s">
        <v>108</v>
      </c>
      <c r="C199">
        <v>5.96</v>
      </c>
      <c r="D199">
        <v>9.15</v>
      </c>
      <c r="E199">
        <v>15</v>
      </c>
      <c r="F199">
        <v>31.66</v>
      </c>
      <c r="G199" s="25" t="str" cm="1">
        <f t="array" ref="G199">IF(
  ISNUMBER(DATEVALUE(A199)),
  TEXT(DATEVALUE(A199),"yyyy-mm-dd"),
  IFERROR(
    TEXT(INDEX($A$2:$A$301,MATCH(1,
      ($B$2:$B$301=B199) * ($C$2:$C$301=C199) * ($D$2:$D$301=D199) * ($E$2:$E$301=E199) *
      ($F$2:$F$301=F199),0)),"yyyy-mm-dd"),
    "Perlu Klarifikasi"
  )
)</f>
        <v>2024-02-22</v>
      </c>
    </row>
    <row r="200" spans="1:7" x14ac:dyDescent="0.3">
      <c r="A200" s="25" t="s">
        <v>97</v>
      </c>
      <c r="B200" t="s">
        <v>108</v>
      </c>
      <c r="C200">
        <v>5.96</v>
      </c>
      <c r="D200">
        <v>9.15</v>
      </c>
      <c r="E200">
        <v>15</v>
      </c>
      <c r="F200">
        <v>31.66</v>
      </c>
      <c r="G200" s="25" t="str" cm="1">
        <f t="array" ref="G200">IF(
  ISNUMBER(DATEVALUE(A200)),
  TEXT(DATEVALUE(A200),"yyyy-mm-dd"),
  IFERROR(
    TEXT(INDEX($A$2:$A$301,MATCH(1,
      ($B$2:$B$301=B200) * ($C$2:$C$301=C200) * ($D$2:$D$301=D200) * ($E$2:$E$301=E200) *
      ($F$2:$F$301=F200),0)),"yyyy-mm-dd"),
    "Perlu Klarifikasi"
  )
)</f>
        <v>2024-02-22</v>
      </c>
    </row>
    <row r="201" spans="1:7" x14ac:dyDescent="0.3">
      <c r="A201" s="25" t="s">
        <v>66</v>
      </c>
      <c r="B201" t="s">
        <v>115</v>
      </c>
      <c r="C201">
        <v>5.3</v>
      </c>
      <c r="D201">
        <v>5.18</v>
      </c>
      <c r="E201">
        <v>44</v>
      </c>
      <c r="F201">
        <v>85.81</v>
      </c>
      <c r="G201" s="25" t="str" cm="1">
        <f t="array" ref="G201">IF(
  ISNUMBER(DATEVALUE(A201)),
  TEXT(DATEVALUE(A201),"yyyy-mm-dd"),
  IFERROR(
    TEXT(INDEX($A$2:$A$301,MATCH(1,
      ($B$2:$B$301=B201) * ($C$2:$C$301=C201) * ($D$2:$D$301=D201) * ($E$2:$E$301=E201) *
      ($F$2:$F$301=F201),0)),"yyyy-mm-dd"),
    "Perlu Klarifikasi"
  )
)</f>
        <v>2024-02-23</v>
      </c>
    </row>
    <row r="202" spans="1:7" x14ac:dyDescent="0.3">
      <c r="A202" s="25" t="s">
        <v>116</v>
      </c>
      <c r="B202" t="s">
        <v>111</v>
      </c>
      <c r="C202">
        <v>2.2400000000000002</v>
      </c>
      <c r="D202">
        <v>10.74</v>
      </c>
      <c r="E202">
        <v>26</v>
      </c>
      <c r="F202">
        <v>84.26</v>
      </c>
      <c r="G202" s="25" t="str" cm="1">
        <f t="array" ref="G202">IF(
  ISNUMBER(DATEVALUE(A202)),
  TEXT(DATEVALUE(A202),"yyyy-mm-dd"),
  IFERROR(
    TEXT(INDEX($A$2:$A$301,MATCH(1,
      ($B$2:$B$301=B202) * ($C$2:$C$301=C202) * ($D$2:$D$301=D202) * ($E$2:$E$301=E202) *
      ($F$2:$F$301=F202),0)),"yyyy-mm-dd"),
    "Perlu Klarifikasi"
  )
)</f>
        <v>2024-02-24</v>
      </c>
    </row>
    <row r="203" spans="1:7" x14ac:dyDescent="0.3">
      <c r="A203" s="25" t="s">
        <v>116</v>
      </c>
      <c r="B203" t="s">
        <v>111</v>
      </c>
      <c r="C203">
        <v>2.2400000000000002</v>
      </c>
      <c r="D203">
        <v>10.74</v>
      </c>
      <c r="E203">
        <v>26</v>
      </c>
      <c r="F203">
        <v>84.26</v>
      </c>
      <c r="G203" s="25" t="str" cm="1">
        <f t="array" ref="G203">IF(
  ISNUMBER(DATEVALUE(A203)),
  TEXT(DATEVALUE(A203),"yyyy-mm-dd"),
  IFERROR(
    TEXT(INDEX($A$2:$A$301,MATCH(1,
      ($B$2:$B$301=B203) * ($C$2:$C$301=C203) * ($D$2:$D$301=D203) * ($E$2:$E$301=E203) *
      ($F$2:$F$301=F203),0)),"yyyy-mm-dd"),
    "Perlu Klarifikasi"
  )
)</f>
        <v>2024-02-24</v>
      </c>
    </row>
    <row r="204" spans="1:7" x14ac:dyDescent="0.3">
      <c r="A204" s="25" t="s">
        <v>76</v>
      </c>
      <c r="B204" t="s">
        <v>109</v>
      </c>
      <c r="C204">
        <v>5.15</v>
      </c>
      <c r="D204">
        <v>5.82</v>
      </c>
      <c r="E204">
        <v>21</v>
      </c>
      <c r="F204">
        <v>38.020000000000003</v>
      </c>
      <c r="G204" s="25" t="str" cm="1">
        <f t="array" ref="G204">IF(
  ISNUMBER(DATEVALUE(A204)),
  TEXT(DATEVALUE(A204),"yyyy-mm-dd"),
  IFERROR(
    TEXT(INDEX($A$2:$A$301,MATCH(1,
      ($B$2:$B$301=B204) * ($C$2:$C$301=C204) * ($D$2:$D$301=D204) * ($E$2:$E$301=E204) *
      ($F$2:$F$301=F204),0)),"yyyy-mm-dd"),
    "Perlu Klarifikasi"
  )
)</f>
        <v>2024-02-25</v>
      </c>
    </row>
    <row r="205" spans="1:7" x14ac:dyDescent="0.3">
      <c r="A205" s="25" t="s">
        <v>47</v>
      </c>
      <c r="B205" t="s">
        <v>115</v>
      </c>
      <c r="C205">
        <v>6.4</v>
      </c>
      <c r="D205">
        <v>13.32</v>
      </c>
      <c r="E205">
        <v>43</v>
      </c>
      <c r="F205">
        <v>126.14</v>
      </c>
      <c r="G205" s="25" t="str" cm="1">
        <f t="array" ref="G205">IF(
  ISNUMBER(DATEVALUE(A205)),
  TEXT(DATEVALUE(A205),"yyyy-mm-dd"),
  IFERROR(
    TEXT(INDEX($A$2:$A$301,MATCH(1,
      ($B$2:$B$301=B205) * ($C$2:$C$301=C205) * ($D$2:$D$301=D205) * ($E$2:$E$301=E205) *
      ($F$2:$F$301=F205),0)),"yyyy-mm-dd"),
    "Perlu Klarifikasi"
  )
)</f>
        <v>2024-02-26</v>
      </c>
    </row>
    <row r="206" spans="1:7" x14ac:dyDescent="0.3">
      <c r="A206" s="25" t="s">
        <v>47</v>
      </c>
      <c r="B206" t="s">
        <v>115</v>
      </c>
      <c r="C206">
        <v>6.4</v>
      </c>
      <c r="D206">
        <v>13.32</v>
      </c>
      <c r="E206">
        <v>43</v>
      </c>
      <c r="F206">
        <v>126.14</v>
      </c>
      <c r="G206" s="25" t="str" cm="1">
        <f t="array" ref="G206">IF(
  ISNUMBER(DATEVALUE(A206)),
  TEXT(DATEVALUE(A206),"yyyy-mm-dd"),
  IFERROR(
    TEXT(INDEX($A$2:$A$301,MATCH(1,
      ($B$2:$B$301=B206) * ($C$2:$C$301=C206) * ($D$2:$D$301=D206) * ($E$2:$E$301=E206) *
      ($F$2:$F$301=F206),0)),"yyyy-mm-dd"),
    "Perlu Klarifikasi"
  )
)</f>
        <v>2024-02-26</v>
      </c>
    </row>
    <row r="207" spans="1:7" x14ac:dyDescent="0.3">
      <c r="A207" s="25" t="s">
        <v>47</v>
      </c>
      <c r="B207" t="s">
        <v>115</v>
      </c>
      <c r="C207">
        <v>6.4</v>
      </c>
      <c r="D207">
        <v>13.32</v>
      </c>
      <c r="E207">
        <v>43</v>
      </c>
      <c r="F207">
        <v>126.14</v>
      </c>
      <c r="G207" s="25" t="str" cm="1">
        <f t="array" ref="G207">IF(
  ISNUMBER(DATEVALUE(A207)),
  TEXT(DATEVALUE(A207),"yyyy-mm-dd"),
  IFERROR(
    TEXT(INDEX($A$2:$A$301,MATCH(1,
      ($B$2:$B$301=B207) * ($C$2:$C$301=C207) * ($D$2:$D$301=D207) * ($E$2:$E$301=E207) *
      ($F$2:$F$301=F207),0)),"yyyy-mm-dd"),
    "Perlu Klarifikasi"
  )
)</f>
        <v>2024-02-26</v>
      </c>
    </row>
    <row r="208" spans="1:7" x14ac:dyDescent="0.3">
      <c r="A208" s="25" t="s">
        <v>33</v>
      </c>
      <c r="B208" t="s">
        <v>108</v>
      </c>
      <c r="C208">
        <v>7.09</v>
      </c>
      <c r="D208">
        <v>12.15</v>
      </c>
      <c r="E208">
        <v>27</v>
      </c>
      <c r="F208">
        <v>81.14</v>
      </c>
      <c r="G208" s="25" t="str" cm="1">
        <f t="array" ref="G208">IF(
  ISNUMBER(DATEVALUE(A208)),
  TEXT(DATEVALUE(A208),"yyyy-mm-dd"),
  IFERROR(
    TEXT(INDEX($A$2:$A$301,MATCH(1,
      ($B$2:$B$301=B208) * ($C$2:$C$301=C208) * ($D$2:$D$301=D208) * ($E$2:$E$301=E208) *
      ($F$2:$F$301=F208),0)),"yyyy-mm-dd"),
    "Perlu Klarifikasi"
  )
)</f>
        <v>2024-02-27</v>
      </c>
    </row>
    <row r="209" spans="1:7" x14ac:dyDescent="0.3">
      <c r="A209" s="25" t="s">
        <v>33</v>
      </c>
      <c r="B209" t="s">
        <v>108</v>
      </c>
      <c r="C209">
        <v>2.35</v>
      </c>
      <c r="D209">
        <v>5.6</v>
      </c>
      <c r="E209">
        <v>24</v>
      </c>
      <c r="F209">
        <v>66.959999999999994</v>
      </c>
      <c r="G209" s="25" t="str" cm="1">
        <f t="array" ref="G209">IF(
  ISNUMBER(DATEVALUE(A209)),
  TEXT(DATEVALUE(A209),"yyyy-mm-dd"),
  IFERROR(
    TEXT(INDEX($A$2:$A$301,MATCH(1,
      ($B$2:$B$301=B209) * ($C$2:$C$301=C209) * ($D$2:$D$301=D209) * ($E$2:$E$301=E209) *
      ($F$2:$F$301=F209),0)),"yyyy-mm-dd"),
    "Perlu Klarifikasi"
  )
)</f>
        <v>2024-02-27</v>
      </c>
    </row>
    <row r="210" spans="1:7" x14ac:dyDescent="0.3">
      <c r="A210" s="25" t="s">
        <v>61</v>
      </c>
      <c r="B210" t="s">
        <v>113</v>
      </c>
      <c r="C210">
        <v>6.75</v>
      </c>
      <c r="D210">
        <v>7.28</v>
      </c>
      <c r="E210">
        <v>31</v>
      </c>
      <c r="F210">
        <v>96.4</v>
      </c>
      <c r="G210" s="25" t="str" cm="1">
        <f t="array" ref="G210">IF(
  ISNUMBER(DATEVALUE(A210)),
  TEXT(DATEVALUE(A210),"yyyy-mm-dd"),
  IFERROR(
    TEXT(INDEX($A$2:$A$301,MATCH(1,
      ($B$2:$B$301=B210) * ($C$2:$C$301=C210) * ($D$2:$D$301=D210) * ($E$2:$E$301=E210) *
      ($F$2:$F$301=F210),0)),"yyyy-mm-dd"),
    "Perlu Klarifikasi"
  )
)</f>
        <v>2024-02-28</v>
      </c>
    </row>
    <row r="211" spans="1:7" x14ac:dyDescent="0.3">
      <c r="A211" s="25" t="s">
        <v>61</v>
      </c>
      <c r="B211" t="s">
        <v>111</v>
      </c>
      <c r="C211">
        <v>5.89</v>
      </c>
      <c r="D211">
        <v>9.36</v>
      </c>
      <c r="E211">
        <v>43</v>
      </c>
      <c r="F211">
        <v>84.29</v>
      </c>
      <c r="G211" s="25" t="str" cm="1">
        <f t="array" ref="G211">IF(
  ISNUMBER(DATEVALUE(A211)),
  TEXT(DATEVALUE(A211),"yyyy-mm-dd"),
  IFERROR(
    TEXT(INDEX($A$2:$A$301,MATCH(1,
      ($B$2:$B$301=B211) * ($C$2:$C$301=C211) * ($D$2:$D$301=D211) * ($E$2:$E$301=E211) *
      ($F$2:$F$301=F211),0)),"yyyy-mm-dd"),
    "Perlu Klarifikasi"
  )
)</f>
        <v>2024-02-28</v>
      </c>
    </row>
    <row r="212" spans="1:7" x14ac:dyDescent="0.3">
      <c r="A212" s="25" t="s">
        <v>61</v>
      </c>
      <c r="B212" t="s">
        <v>111</v>
      </c>
      <c r="C212">
        <v>3.43</v>
      </c>
      <c r="D212">
        <v>12.24</v>
      </c>
      <c r="E212">
        <v>22</v>
      </c>
      <c r="F212">
        <v>55.07</v>
      </c>
      <c r="G212" s="25" t="str" cm="1">
        <f t="array" ref="G212">IF(
  ISNUMBER(DATEVALUE(A212)),
  TEXT(DATEVALUE(A212),"yyyy-mm-dd"),
  IFERROR(
    TEXT(INDEX($A$2:$A$301,MATCH(1,
      ($B$2:$B$301=B212) * ($C$2:$C$301=C212) * ($D$2:$D$301=D212) * ($E$2:$E$301=E212) *
      ($F$2:$F$301=F212),0)),"yyyy-mm-dd"),
    "Perlu Klarifikasi"
  )
)</f>
        <v>2024-02-28</v>
      </c>
    </row>
    <row r="213" spans="1:7" x14ac:dyDescent="0.3">
      <c r="A213" s="25" t="s">
        <v>61</v>
      </c>
      <c r="B213" t="s">
        <v>109</v>
      </c>
      <c r="C213">
        <v>4.0599999999999996</v>
      </c>
      <c r="D213">
        <v>13.97</v>
      </c>
      <c r="E213">
        <v>29</v>
      </c>
      <c r="F213">
        <v>94.81</v>
      </c>
      <c r="G213" s="25" t="str" cm="1">
        <f t="array" ref="G213">IF(
  ISNUMBER(DATEVALUE(A213)),
  TEXT(DATEVALUE(A213),"yyyy-mm-dd"),
  IFERROR(
    TEXT(INDEX($A$2:$A$301,MATCH(1,
      ($B$2:$B$301=B213) * ($C$2:$C$301=C213) * ($D$2:$D$301=D213) * ($E$2:$E$301=E213) *
      ($F$2:$F$301=F213),0)),"yyyy-mm-dd"),
    "Perlu Klarifikasi"
  )
)</f>
        <v>2024-02-28</v>
      </c>
    </row>
    <row r="214" spans="1:7" x14ac:dyDescent="0.3">
      <c r="A214" s="25" t="s">
        <v>61</v>
      </c>
      <c r="B214" t="s">
        <v>111</v>
      </c>
      <c r="C214">
        <v>5.89</v>
      </c>
      <c r="D214">
        <v>9.36</v>
      </c>
      <c r="E214">
        <v>43</v>
      </c>
      <c r="F214">
        <v>84.29</v>
      </c>
      <c r="G214" s="25" t="str" cm="1">
        <f t="array" ref="G214">IF(
  ISNUMBER(DATEVALUE(A214)),
  TEXT(DATEVALUE(A214),"yyyy-mm-dd"),
  IFERROR(
    TEXT(INDEX($A$2:$A$301,MATCH(1,
      ($B$2:$B$301=B214) * ($C$2:$C$301=C214) * ($D$2:$D$301=D214) * ($E$2:$E$301=E214) *
      ($F$2:$F$301=F214),0)),"yyyy-mm-dd"),
    "Perlu Klarifikasi"
  )
)</f>
        <v>2024-02-28</v>
      </c>
    </row>
    <row r="215" spans="1:7" x14ac:dyDescent="0.3">
      <c r="A215" s="25" t="s">
        <v>61</v>
      </c>
      <c r="B215" t="s">
        <v>111</v>
      </c>
      <c r="C215">
        <v>3.43</v>
      </c>
      <c r="D215">
        <v>12.24</v>
      </c>
      <c r="E215">
        <v>22</v>
      </c>
      <c r="F215" s="22">
        <f>F219</f>
        <v>55.07</v>
      </c>
      <c r="G215" s="25" t="str" cm="1">
        <f t="array" ref="G215">IF(
  ISNUMBER(DATEVALUE(A215)),
  TEXT(DATEVALUE(A215),"yyyy-mm-dd"),
  IFERROR(
    TEXT(INDEX($A$2:$A$301,MATCH(1,
      ($B$2:$B$301=B215) * ($C$2:$C$301=C215) * ($D$2:$D$301=D215) * ($E$2:$E$301=E215) *
      ($F$2:$F$301=F215),0)),"yyyy-mm-dd"),
    "Perlu Klarifikasi"
  )
)</f>
        <v>2024-02-28</v>
      </c>
    </row>
    <row r="216" spans="1:7" x14ac:dyDescent="0.3">
      <c r="A216" s="25" t="s">
        <v>61</v>
      </c>
      <c r="B216" t="s">
        <v>111</v>
      </c>
      <c r="C216">
        <v>5.89</v>
      </c>
      <c r="D216">
        <v>9.36</v>
      </c>
      <c r="E216">
        <v>43</v>
      </c>
      <c r="F216">
        <v>84.29</v>
      </c>
      <c r="G216" s="25" t="str" cm="1">
        <f t="array" ref="G216">IF(
  ISNUMBER(DATEVALUE(A216)),
  TEXT(DATEVALUE(A216),"yyyy-mm-dd"),
  IFERROR(
    TEXT(INDEX($A$2:$A$301,MATCH(1,
      ($B$2:$B$301=B216) * ($C$2:$C$301=C216) * ($D$2:$D$301=D216) * ($E$2:$E$301=E216) *
      ($F$2:$F$301=F216),0)),"yyyy-mm-dd"),
    "Perlu Klarifikasi"
  )
)</f>
        <v>2024-02-28</v>
      </c>
    </row>
    <row r="217" spans="1:7" x14ac:dyDescent="0.3">
      <c r="A217" s="25" t="s">
        <v>61</v>
      </c>
      <c r="B217" t="s">
        <v>109</v>
      </c>
      <c r="C217">
        <v>4.0599999999999996</v>
      </c>
      <c r="D217">
        <v>13.97</v>
      </c>
      <c r="E217">
        <v>29</v>
      </c>
      <c r="F217">
        <v>94.81</v>
      </c>
      <c r="G217" s="25" t="str" cm="1">
        <f t="array" ref="G217">IF(
  ISNUMBER(DATEVALUE(A217)),
  TEXT(DATEVALUE(A217),"yyyy-mm-dd"),
  IFERROR(
    TEXT(INDEX($A$2:$A$301,MATCH(1,
      ($B$2:$B$301=B217) * ($C$2:$C$301=C217) * ($D$2:$D$301=D217) * ($E$2:$E$301=E217) *
      ($F$2:$F$301=F217),0)),"yyyy-mm-dd"),
    "Perlu Klarifikasi"
  )
)</f>
        <v>2024-02-28</v>
      </c>
    </row>
    <row r="218" spans="1:7" x14ac:dyDescent="0.3">
      <c r="A218" s="25" t="s">
        <v>61</v>
      </c>
      <c r="B218" t="s">
        <v>109</v>
      </c>
      <c r="C218">
        <v>4.0599999999999996</v>
      </c>
      <c r="D218">
        <v>13.97</v>
      </c>
      <c r="E218">
        <v>29</v>
      </c>
      <c r="F218">
        <v>94.81</v>
      </c>
      <c r="G218" s="25" t="str" cm="1">
        <f t="array" ref="G218">IF(
  ISNUMBER(DATEVALUE(A218)),
  TEXT(DATEVALUE(A218),"yyyy-mm-dd"),
  IFERROR(
    TEXT(INDEX($A$2:$A$301,MATCH(1,
      ($B$2:$B$301=B218) * ($C$2:$C$301=C218) * ($D$2:$D$301=D218) * ($E$2:$E$301=E218) *
      ($F$2:$F$301=F218),0)),"yyyy-mm-dd"),
    "Perlu Klarifikasi"
  )
)</f>
        <v>2024-02-28</v>
      </c>
    </row>
    <row r="219" spans="1:7" x14ac:dyDescent="0.3">
      <c r="A219" s="25" t="s">
        <v>61</v>
      </c>
      <c r="B219" t="s">
        <v>111</v>
      </c>
      <c r="C219">
        <v>3.43</v>
      </c>
      <c r="D219">
        <v>12.24</v>
      </c>
      <c r="E219">
        <v>22</v>
      </c>
      <c r="F219">
        <v>55.07</v>
      </c>
      <c r="G219" s="25" t="str" cm="1">
        <f t="array" ref="G219">IF(
  ISNUMBER(DATEVALUE(A219)),
  TEXT(DATEVALUE(A219),"yyyy-mm-dd"),
  IFERROR(
    TEXT(INDEX($A$2:$A$301,MATCH(1,
      ($B$2:$B$301=B219) * ($C$2:$C$301=C219) * ($D$2:$D$301=D219) * ($E$2:$E$301=E219) *
      ($F$2:$F$301=F219),0)),"yyyy-mm-dd"),
    "Perlu Klarifikasi"
  )
)</f>
        <v>2024-02-28</v>
      </c>
    </row>
    <row r="220" spans="1:7" x14ac:dyDescent="0.3">
      <c r="A220" s="26" t="s">
        <v>52</v>
      </c>
      <c r="B220" s="22" t="s">
        <v>111</v>
      </c>
      <c r="C220" s="22">
        <v>3.43</v>
      </c>
      <c r="D220" s="22">
        <v>12.24</v>
      </c>
      <c r="E220" s="22">
        <v>22</v>
      </c>
      <c r="F220" s="22">
        <v>55.07</v>
      </c>
      <c r="G220" s="25" t="str" cm="1">
        <f t="array" ref="G220">IF(
  ISNUMBER(DATEVALUE(A220)),
  TEXT(DATEVALUE(A220),"yyyy-mm-dd"),
  IFERROR(
    TEXT(INDEX($A$2:$A$301,MATCH(1,
      ($B$2:$B$301=B220) * ($C$2:$C$301=C220) * ($D$2:$D$301=D220) * ($E$2:$E$301=E220) *
      ($F$2:$F$301=F220),0)),"yyyy-mm-dd"),
    "Perlu Klarifikasi"
  )
)</f>
        <v>2024-02-28</v>
      </c>
    </row>
    <row r="221" spans="1:7" x14ac:dyDescent="0.3">
      <c r="A221" s="25" t="s">
        <v>71</v>
      </c>
      <c r="B221" t="s">
        <v>109</v>
      </c>
      <c r="C221">
        <v>2.12</v>
      </c>
      <c r="D221">
        <v>5.52</v>
      </c>
      <c r="E221">
        <v>20</v>
      </c>
      <c r="F221">
        <v>55.94</v>
      </c>
      <c r="G221" s="25" t="str" cm="1">
        <f t="array" ref="G221">IF(
  ISNUMBER(DATEVALUE(A221)),
  TEXT(DATEVALUE(A221),"yyyy-mm-dd"),
  IFERROR(
    TEXT(INDEX($A$2:$A$301,MATCH(1,
      ($B$2:$B$301=B221) * ($C$2:$C$301=C221) * ($D$2:$D$301=D221) * ($E$2:$E$301=E221) *
      ($F$2:$F$301=F221),0)),"yyyy-mm-dd"),
    "Perlu Klarifikasi"
  )
)</f>
        <v>2024-02-29</v>
      </c>
    </row>
    <row r="222" spans="1:7" x14ac:dyDescent="0.3">
      <c r="A222" s="25" t="s">
        <v>71</v>
      </c>
      <c r="B222" t="s">
        <v>108</v>
      </c>
      <c r="C222">
        <v>7.82</v>
      </c>
      <c r="D222">
        <v>10.84</v>
      </c>
      <c r="E222">
        <v>20</v>
      </c>
      <c r="F222">
        <v>38.619999999999997</v>
      </c>
      <c r="G222" s="25" t="str" cm="1">
        <f t="array" ref="G222">IF(
  ISNUMBER(DATEVALUE(A222)),
  TEXT(DATEVALUE(A222),"yyyy-mm-dd"),
  IFERROR(
    TEXT(INDEX($A$2:$A$301,MATCH(1,
      ($B$2:$B$301=B222) * ($C$2:$C$301=C222) * ($D$2:$D$301=D222) * ($E$2:$E$301=E222) *
      ($F$2:$F$301=F222),0)),"yyyy-mm-dd"),
    "Perlu Klarifikasi"
  )
)</f>
        <v>2024-02-29</v>
      </c>
    </row>
    <row r="223" spans="1:7" x14ac:dyDescent="0.3">
      <c r="A223" s="25" t="s">
        <v>71</v>
      </c>
      <c r="B223" t="s">
        <v>109</v>
      </c>
      <c r="C223">
        <v>2.12</v>
      </c>
      <c r="D223">
        <v>5.52</v>
      </c>
      <c r="E223">
        <v>20</v>
      </c>
      <c r="F223">
        <v>55.94</v>
      </c>
      <c r="G223" s="25" t="str" cm="1">
        <f t="array" ref="G223">IF(
  ISNUMBER(DATEVALUE(A223)),
  TEXT(DATEVALUE(A223),"yyyy-mm-dd"),
  IFERROR(
    TEXT(INDEX($A$2:$A$301,MATCH(1,
      ($B$2:$B$301=B223) * ($C$2:$C$301=C223) * ($D$2:$D$301=D223) * ($E$2:$E$301=E223) *
      ($F$2:$F$301=F223),0)),"yyyy-mm-dd"),
    "Perlu Klarifikasi"
  )
)</f>
        <v>2024-02-29</v>
      </c>
    </row>
    <row r="224" spans="1:7" x14ac:dyDescent="0.3">
      <c r="A224" s="25" t="s">
        <v>71</v>
      </c>
      <c r="B224" t="s">
        <v>109</v>
      </c>
      <c r="C224">
        <v>2.12</v>
      </c>
      <c r="D224">
        <v>5.52</v>
      </c>
      <c r="E224">
        <v>20</v>
      </c>
      <c r="F224">
        <v>55.94</v>
      </c>
      <c r="G224" s="25" t="str" cm="1">
        <f t="array" ref="G224">IF(
  ISNUMBER(DATEVALUE(A224)),
  TEXT(DATEVALUE(A224),"yyyy-mm-dd"),
  IFERROR(
    TEXT(INDEX($A$2:$A$301,MATCH(1,
      ($B$2:$B$301=B224) * ($C$2:$C$301=C224) * ($D$2:$D$301=D224) * ($E$2:$E$301=E224) *
      ($F$2:$F$301=F224),0)),"yyyy-mm-dd"),
    "Perlu Klarifikasi"
  )
)</f>
        <v>2024-02-29</v>
      </c>
    </row>
    <row r="225" spans="1:7" x14ac:dyDescent="0.3">
      <c r="A225" s="25" t="s">
        <v>83</v>
      </c>
      <c r="B225" t="s">
        <v>111</v>
      </c>
      <c r="C225">
        <v>6.24</v>
      </c>
      <c r="D225">
        <v>8.57</v>
      </c>
      <c r="E225">
        <v>11</v>
      </c>
      <c r="F225">
        <v>34.72</v>
      </c>
      <c r="G225" s="25" t="str" cm="1">
        <f t="array" ref="G225">IF(
  ISNUMBER(DATEVALUE(A225)),
  TEXT(DATEVALUE(A225),"yyyy-mm-dd"),
  IFERROR(
    TEXT(INDEX($A$2:$A$301,MATCH(1,
      ($B$2:$B$301=B225) * ($C$2:$C$301=C225) * ($D$2:$D$301=D225) * ($E$2:$E$301=E225) *
      ($F$2:$F$301=F225),0)),"yyyy-mm-dd"),
    "Perlu Klarifikasi"
  )
)</f>
        <v>2024-03-01</v>
      </c>
    </row>
    <row r="226" spans="1:7" x14ac:dyDescent="0.3">
      <c r="A226" s="25" t="s">
        <v>50</v>
      </c>
      <c r="B226" t="s">
        <v>109</v>
      </c>
      <c r="C226">
        <v>5.57</v>
      </c>
      <c r="D226">
        <v>5.07</v>
      </c>
      <c r="E226">
        <v>16</v>
      </c>
      <c r="F226">
        <v>42.19</v>
      </c>
      <c r="G226" s="25" t="str" cm="1">
        <f t="array" ref="G226">IF(
  ISNUMBER(DATEVALUE(A226)),
  TEXT(DATEVALUE(A226),"yyyy-mm-dd"),
  IFERROR(
    TEXT(INDEX($A$2:$A$301,MATCH(1,
      ($B$2:$B$301=B226) * ($C$2:$C$301=C226) * ($D$2:$D$301=D226) * ($E$2:$E$301=E226) *
      ($F$2:$F$301=F226),0)),"yyyy-mm-dd"),
    "Perlu Klarifikasi"
  )
)</f>
        <v>2024-03-02</v>
      </c>
    </row>
    <row r="227" spans="1:7" x14ac:dyDescent="0.3">
      <c r="A227" s="25" t="s">
        <v>50</v>
      </c>
      <c r="B227" t="s">
        <v>109</v>
      </c>
      <c r="C227">
        <v>5.57</v>
      </c>
      <c r="D227">
        <v>5.07</v>
      </c>
      <c r="E227">
        <v>16</v>
      </c>
      <c r="F227">
        <v>42.19</v>
      </c>
      <c r="G227" s="25" t="str" cm="1">
        <f t="array" ref="G227">IF(
  ISNUMBER(DATEVALUE(A227)),
  TEXT(DATEVALUE(A227),"yyyy-mm-dd"),
  IFERROR(
    TEXT(INDEX($A$2:$A$301,MATCH(1,
      ($B$2:$B$301=B227) * ($C$2:$C$301=C227) * ($D$2:$D$301=D227) * ($E$2:$E$301=E227) *
      ($F$2:$F$301=F227),0)),"yyyy-mm-dd"),
    "Perlu Klarifikasi"
  )
)</f>
        <v>2024-03-02</v>
      </c>
    </row>
    <row r="228" spans="1:7" x14ac:dyDescent="0.3">
      <c r="A228" s="25" t="s">
        <v>122</v>
      </c>
      <c r="B228" t="s">
        <v>108</v>
      </c>
      <c r="C228">
        <v>3.42</v>
      </c>
      <c r="D228">
        <v>14.99</v>
      </c>
      <c r="E228">
        <v>44</v>
      </c>
      <c r="F228">
        <v>105.1</v>
      </c>
      <c r="G228" s="25" t="str" cm="1">
        <f t="array" ref="G228">IF(
  ISNUMBER(DATEVALUE(A228)),
  TEXT(DATEVALUE(A228),"yyyy-mm-dd"),
  IFERROR(
    TEXT(INDEX($A$2:$A$301,MATCH(1,
      ($B$2:$B$301=B228) * ($C$2:$C$301=C228) * ($D$2:$D$301=D228) * ($E$2:$E$301=E228) *
      ($F$2:$F$301=F228),0)),"yyyy-mm-dd"),
    "Perlu Klarifikasi"
  )
)</f>
        <v>2024-03-03</v>
      </c>
    </row>
    <row r="229" spans="1:7" x14ac:dyDescent="0.3">
      <c r="A229" s="25" t="s">
        <v>122</v>
      </c>
      <c r="B229" t="s">
        <v>108</v>
      </c>
      <c r="C229">
        <v>3.42</v>
      </c>
      <c r="D229">
        <v>14.99</v>
      </c>
      <c r="E229">
        <v>44</v>
      </c>
      <c r="F229">
        <v>105.1</v>
      </c>
      <c r="G229" s="25" t="str" cm="1">
        <f t="array" ref="G229">IF(
  ISNUMBER(DATEVALUE(A229)),
  TEXT(DATEVALUE(A229),"yyyy-mm-dd"),
  IFERROR(
    TEXT(INDEX($A$2:$A$301,MATCH(1,
      ($B$2:$B$301=B229) * ($C$2:$C$301=C229) * ($D$2:$D$301=D229) * ($E$2:$E$301=E229) *
      ($F$2:$F$301=F229),0)),"yyyy-mm-dd"),
    "Perlu Klarifikasi"
  )
)</f>
        <v>2024-03-03</v>
      </c>
    </row>
    <row r="230" spans="1:7" x14ac:dyDescent="0.3">
      <c r="A230" s="25" t="s">
        <v>122</v>
      </c>
      <c r="B230" t="s">
        <v>108</v>
      </c>
      <c r="C230">
        <v>3.42</v>
      </c>
      <c r="D230">
        <v>14.99</v>
      </c>
      <c r="E230">
        <v>44</v>
      </c>
      <c r="F230">
        <v>105.1</v>
      </c>
      <c r="G230" s="25" t="str" cm="1">
        <f t="array" ref="G230">IF(
  ISNUMBER(DATEVALUE(A230)),
  TEXT(DATEVALUE(A230),"yyyy-mm-dd"),
  IFERROR(
    TEXT(INDEX($A$2:$A$301,MATCH(1,
      ($B$2:$B$301=B230) * ($C$2:$C$301=C230) * ($D$2:$D$301=D230) * ($E$2:$E$301=E230) *
      ($F$2:$F$301=F230),0)),"yyyy-mm-dd"),
    "Perlu Klarifikasi"
  )
)</f>
        <v>2024-03-03</v>
      </c>
    </row>
    <row r="231" spans="1:7" x14ac:dyDescent="0.3">
      <c r="A231" s="25" t="s">
        <v>68</v>
      </c>
      <c r="B231" t="s">
        <v>113</v>
      </c>
      <c r="C231">
        <v>7.76</v>
      </c>
      <c r="D231">
        <v>13.19</v>
      </c>
      <c r="E231">
        <v>40</v>
      </c>
      <c r="F231">
        <v>74.16</v>
      </c>
      <c r="G231" s="25" t="str" cm="1">
        <f t="array" ref="G231">IF(
  ISNUMBER(DATEVALUE(A231)),
  TEXT(DATEVALUE(A231),"yyyy-mm-dd"),
  IFERROR(
    TEXT(INDEX($A$2:$A$301,MATCH(1,
      ($B$2:$B$301=B231) * ($C$2:$C$301=C231) * ($D$2:$D$301=D231) * ($E$2:$E$301=E231) *
      ($F$2:$F$301=F231),0)),"yyyy-mm-dd"),
    "Perlu Klarifikasi"
  )
)</f>
        <v>2024-03-04</v>
      </c>
    </row>
    <row r="232" spans="1:7" x14ac:dyDescent="0.3">
      <c r="A232" s="25" t="s">
        <v>68</v>
      </c>
      <c r="B232" t="s">
        <v>113</v>
      </c>
      <c r="C232">
        <v>5.45</v>
      </c>
      <c r="D232">
        <v>11.46</v>
      </c>
      <c r="E232">
        <v>41</v>
      </c>
      <c r="F232">
        <v>132.55000000000001</v>
      </c>
      <c r="G232" s="25" t="str" cm="1">
        <f t="array" ref="G232">IF(
  ISNUMBER(DATEVALUE(A232)),
  TEXT(DATEVALUE(A232),"yyyy-mm-dd"),
  IFERROR(
    TEXT(INDEX($A$2:$A$301,MATCH(1,
      ($B$2:$B$301=B232) * ($C$2:$C$301=C232) * ($D$2:$D$301=D232) * ($E$2:$E$301=E232) *
      ($F$2:$F$301=F232),0)),"yyyy-mm-dd"),
    "Perlu Klarifikasi"
  )
)</f>
        <v>2024-03-04</v>
      </c>
    </row>
    <row r="233" spans="1:7" x14ac:dyDescent="0.3">
      <c r="A233" s="25" t="s">
        <v>68</v>
      </c>
      <c r="B233" t="s">
        <v>109</v>
      </c>
      <c r="C233">
        <v>4.79</v>
      </c>
      <c r="D233">
        <v>7.64</v>
      </c>
      <c r="E233">
        <v>31</v>
      </c>
      <c r="F233">
        <v>83.92</v>
      </c>
      <c r="G233" s="25" t="str" cm="1">
        <f t="array" ref="G233">IF(
  ISNUMBER(DATEVALUE(A233)),
  TEXT(DATEVALUE(A233),"yyyy-mm-dd"),
  IFERROR(
    TEXT(INDEX($A$2:$A$301,MATCH(1,
      ($B$2:$B$301=B233) * ($C$2:$C$301=C233) * ($D$2:$D$301=D233) * ($E$2:$E$301=E233) *
      ($F$2:$F$301=F233),0)),"yyyy-mm-dd"),
    "Perlu Klarifikasi"
  )
)</f>
        <v>2024-03-04</v>
      </c>
    </row>
    <row r="234" spans="1:7" x14ac:dyDescent="0.3">
      <c r="A234" s="25" t="s">
        <v>68</v>
      </c>
      <c r="B234" t="s">
        <v>113</v>
      </c>
      <c r="C234">
        <v>5.45</v>
      </c>
      <c r="D234">
        <v>11.46</v>
      </c>
      <c r="E234">
        <v>41</v>
      </c>
      <c r="F234">
        <v>132.55000000000001</v>
      </c>
      <c r="G234" s="25" t="str" cm="1">
        <f t="array" ref="G234">IF(
  ISNUMBER(DATEVALUE(A234)),
  TEXT(DATEVALUE(A234),"yyyy-mm-dd"),
  IFERROR(
    TEXT(INDEX($A$2:$A$301,MATCH(1,
      ($B$2:$B$301=B234) * ($C$2:$C$301=C234) * ($D$2:$D$301=D234) * ($E$2:$E$301=E234) *
      ($F$2:$F$301=F234),0)),"yyyy-mm-dd"),
    "Perlu Klarifikasi"
  )
)</f>
        <v>2024-03-04</v>
      </c>
    </row>
    <row r="235" spans="1:7" x14ac:dyDescent="0.3">
      <c r="A235" s="25" t="s">
        <v>74</v>
      </c>
      <c r="B235" t="s">
        <v>108</v>
      </c>
      <c r="C235">
        <v>7.21</v>
      </c>
      <c r="D235">
        <v>13.35</v>
      </c>
      <c r="E235">
        <v>20</v>
      </c>
      <c r="F235">
        <v>63.84</v>
      </c>
      <c r="G235" s="25" t="str" cm="1">
        <f t="array" ref="G235">IF(
  ISNUMBER(DATEVALUE(A235)),
  TEXT(DATEVALUE(A235),"yyyy-mm-dd"),
  IFERROR(
    TEXT(INDEX($A$2:$A$301,MATCH(1,
      ($B$2:$B$301=B235) * ($C$2:$C$301=C235) * ($D$2:$D$301=D235) * ($E$2:$E$301=E235) *
      ($F$2:$F$301=F235),0)),"yyyy-mm-dd"),
    "Perlu Klarifikasi"
  )
)</f>
        <v>2024-03-05</v>
      </c>
    </row>
    <row r="236" spans="1:7" x14ac:dyDescent="0.3">
      <c r="A236" s="25" t="s">
        <v>74</v>
      </c>
      <c r="B236" t="s">
        <v>108</v>
      </c>
      <c r="C236">
        <v>7.21</v>
      </c>
      <c r="D236">
        <v>13.35</v>
      </c>
      <c r="E236">
        <v>20</v>
      </c>
      <c r="F236">
        <v>63.84</v>
      </c>
      <c r="G236" s="25" t="str" cm="1">
        <f t="array" ref="G236">IF(
  ISNUMBER(DATEVALUE(A236)),
  TEXT(DATEVALUE(A236),"yyyy-mm-dd"),
  IFERROR(
    TEXT(INDEX($A$2:$A$301,MATCH(1,
      ($B$2:$B$301=B236) * ($C$2:$C$301=C236) * ($D$2:$D$301=D236) * ($E$2:$E$301=E236) *
      ($F$2:$F$301=F236),0)),"yyyy-mm-dd"),
    "Perlu Klarifikasi"
  )
)</f>
        <v>2024-03-05</v>
      </c>
    </row>
    <row r="237" spans="1:7" x14ac:dyDescent="0.3">
      <c r="A237" s="25" t="s">
        <v>74</v>
      </c>
      <c r="B237" t="s">
        <v>108</v>
      </c>
      <c r="C237">
        <v>7.21</v>
      </c>
      <c r="D237">
        <v>13.35</v>
      </c>
      <c r="E237">
        <v>20</v>
      </c>
      <c r="F237">
        <v>63.84</v>
      </c>
      <c r="G237" s="25" t="str" cm="1">
        <f t="array" ref="G237">IF(
  ISNUMBER(DATEVALUE(A237)),
  TEXT(DATEVALUE(A237),"yyyy-mm-dd"),
  IFERROR(
    TEXT(INDEX($A$2:$A$301,MATCH(1,
      ($B$2:$B$301=B237) * ($C$2:$C$301=C237) * ($D$2:$D$301=D237) * ($E$2:$E$301=E237) *
      ($F$2:$F$301=F237),0)),"yyyy-mm-dd"),
    "Perlu Klarifikasi"
  )
)</f>
        <v>2024-03-05</v>
      </c>
    </row>
    <row r="238" spans="1:7" x14ac:dyDescent="0.3">
      <c r="A238" s="25" t="s">
        <v>82</v>
      </c>
      <c r="B238" t="s">
        <v>109</v>
      </c>
      <c r="C238">
        <v>3.19</v>
      </c>
      <c r="D238">
        <v>12.62</v>
      </c>
      <c r="E238">
        <v>36</v>
      </c>
      <c r="F238">
        <v>91.63</v>
      </c>
      <c r="G238" s="25" t="str" cm="1">
        <f t="array" ref="G238">IF(
  ISNUMBER(DATEVALUE(A238)),
  TEXT(DATEVALUE(A238),"yyyy-mm-dd"),
  IFERROR(
    TEXT(INDEX($A$2:$A$301,MATCH(1,
      ($B$2:$B$301=B238) * ($C$2:$C$301=C238) * ($D$2:$D$301=D238) * ($E$2:$E$301=E238) *
      ($F$2:$F$301=F238),0)),"yyyy-mm-dd"),
    "Perlu Klarifikasi"
  )
)</f>
        <v>2024-03-06</v>
      </c>
    </row>
    <row r="239" spans="1:7" x14ac:dyDescent="0.3">
      <c r="A239" s="25" t="s">
        <v>82</v>
      </c>
      <c r="B239" t="s">
        <v>111</v>
      </c>
      <c r="C239">
        <v>6.52</v>
      </c>
      <c r="D239">
        <v>12.5</v>
      </c>
      <c r="E239">
        <v>39</v>
      </c>
      <c r="F239">
        <v>108.55</v>
      </c>
      <c r="G239" s="25" t="str" cm="1">
        <f t="array" ref="G239">IF(
  ISNUMBER(DATEVALUE(A239)),
  TEXT(DATEVALUE(A239),"yyyy-mm-dd"),
  IFERROR(
    TEXT(INDEX($A$2:$A$301,MATCH(1,
      ($B$2:$B$301=B239) * ($C$2:$C$301=C239) * ($D$2:$D$301=D239) * ($E$2:$E$301=E239) *
      ($F$2:$F$301=F239),0)),"yyyy-mm-dd"),
    "Perlu Klarifikasi"
  )
)</f>
        <v>2024-03-06</v>
      </c>
    </row>
    <row r="240" spans="1:7" x14ac:dyDescent="0.3">
      <c r="A240" s="25" t="s">
        <v>82</v>
      </c>
      <c r="B240" t="s">
        <v>109</v>
      </c>
      <c r="C240">
        <v>3.19</v>
      </c>
      <c r="D240">
        <v>12.62</v>
      </c>
      <c r="E240">
        <v>36</v>
      </c>
      <c r="F240">
        <v>91.63</v>
      </c>
      <c r="G240" s="25" t="str" cm="1">
        <f t="array" ref="G240">IF(
  ISNUMBER(DATEVALUE(A240)),
  TEXT(DATEVALUE(A240),"yyyy-mm-dd"),
  IFERROR(
    TEXT(INDEX($A$2:$A$301,MATCH(1,
      ($B$2:$B$301=B240) * ($C$2:$C$301=C240) * ($D$2:$D$301=D240) * ($E$2:$E$301=E240) *
      ($F$2:$F$301=F240),0)),"yyyy-mm-dd"),
    "Perlu Klarifikasi"
  )
)</f>
        <v>2024-03-06</v>
      </c>
    </row>
    <row r="241" spans="1:7" x14ac:dyDescent="0.3">
      <c r="A241" s="25" t="s">
        <v>82</v>
      </c>
      <c r="B241" t="s">
        <v>111</v>
      </c>
      <c r="C241">
        <v>6.52</v>
      </c>
      <c r="D241">
        <v>12.5</v>
      </c>
      <c r="E241">
        <v>39</v>
      </c>
      <c r="F241">
        <v>108.55</v>
      </c>
      <c r="G241" s="25" t="str" cm="1">
        <f t="array" ref="G241">IF(
  ISNUMBER(DATEVALUE(A241)),
  TEXT(DATEVALUE(A241),"yyyy-mm-dd"),
  IFERROR(
    TEXT(INDEX($A$2:$A$301,MATCH(1,
      ($B$2:$B$301=B241) * ($C$2:$C$301=C241) * ($D$2:$D$301=D241) * ($E$2:$E$301=E241) *
      ($F$2:$F$301=F241),0)),"yyyy-mm-dd"),
    "Perlu Klarifikasi"
  )
)</f>
        <v>2024-03-06</v>
      </c>
    </row>
    <row r="242" spans="1:7" x14ac:dyDescent="0.3">
      <c r="A242" s="25" t="s">
        <v>82</v>
      </c>
      <c r="B242" t="s">
        <v>111</v>
      </c>
      <c r="C242">
        <v>6.52</v>
      </c>
      <c r="D242">
        <v>12.5</v>
      </c>
      <c r="E242">
        <v>39</v>
      </c>
      <c r="F242">
        <v>108.55</v>
      </c>
      <c r="G242" s="25" t="str" cm="1">
        <f t="array" ref="G242">IF(
  ISNUMBER(DATEVALUE(A242)),
  TEXT(DATEVALUE(A242),"yyyy-mm-dd"),
  IFERROR(
    TEXT(INDEX($A$2:$A$301,MATCH(1,
      ($B$2:$B$301=B242) * ($C$2:$C$301=C242) * ($D$2:$D$301=D242) * ($E$2:$E$301=E242) *
      ($F$2:$F$301=F242),0)),"yyyy-mm-dd"),
    "Perlu Klarifikasi"
  )
)</f>
        <v>2024-03-06</v>
      </c>
    </row>
    <row r="243" spans="1:7" x14ac:dyDescent="0.3">
      <c r="A243" s="25" t="s">
        <v>82</v>
      </c>
      <c r="B243" t="s">
        <v>111</v>
      </c>
      <c r="C243">
        <v>6.52</v>
      </c>
      <c r="D243">
        <v>12.5</v>
      </c>
      <c r="E243">
        <v>39</v>
      </c>
      <c r="F243">
        <v>108.55</v>
      </c>
      <c r="G243" s="25" t="str" cm="1">
        <f t="array" ref="G243">IF(
  ISNUMBER(DATEVALUE(A243)),
  TEXT(DATEVALUE(A243),"yyyy-mm-dd"),
  IFERROR(
    TEXT(INDEX($A$2:$A$301,MATCH(1,
      ($B$2:$B$301=B243) * ($C$2:$C$301=C243) * ($D$2:$D$301=D243) * ($E$2:$E$301=E243) *
      ($F$2:$F$301=F243),0)),"yyyy-mm-dd"),
    "Perlu Klarifikasi"
  )
)</f>
        <v>2024-03-06</v>
      </c>
    </row>
    <row r="244" spans="1:7" x14ac:dyDescent="0.3">
      <c r="A244" s="25" t="s">
        <v>82</v>
      </c>
      <c r="B244" t="s">
        <v>109</v>
      </c>
      <c r="C244">
        <v>3.19</v>
      </c>
      <c r="D244">
        <v>12.62</v>
      </c>
      <c r="E244">
        <v>36</v>
      </c>
      <c r="F244">
        <v>91.63</v>
      </c>
      <c r="G244" s="25" t="str" cm="1">
        <f t="array" ref="G244">IF(
  ISNUMBER(DATEVALUE(A244)),
  TEXT(DATEVALUE(A244),"yyyy-mm-dd"),
  IFERROR(
    TEXT(INDEX($A$2:$A$301,MATCH(1,
      ($B$2:$B$301=B244) * ($C$2:$C$301=C244) * ($D$2:$D$301=D244) * ($E$2:$E$301=E244) *
      ($F$2:$F$301=F244),0)),"yyyy-mm-dd"),
    "Perlu Klarifikasi"
  )
)</f>
        <v>2024-03-06</v>
      </c>
    </row>
    <row r="245" spans="1:7" x14ac:dyDescent="0.3">
      <c r="A245" s="26" t="s">
        <v>52</v>
      </c>
      <c r="B245" s="22" t="s">
        <v>111</v>
      </c>
      <c r="C245" s="22">
        <v>6.52</v>
      </c>
      <c r="D245" s="22">
        <v>12.5</v>
      </c>
      <c r="E245" s="22">
        <v>39</v>
      </c>
      <c r="F245" s="22">
        <v>108.55</v>
      </c>
      <c r="G245" s="25" t="str" cm="1">
        <f t="array" ref="G245">IF(
  ISNUMBER(DATEVALUE(A245)),
  TEXT(DATEVALUE(A245),"yyyy-mm-dd"),
  IFERROR(
    TEXT(INDEX($A$2:$A$301,MATCH(1,
      ($B$2:$B$301=B245) * ($C$2:$C$301=C245) * ($D$2:$D$301=D245) * ($E$2:$E$301=E245) *
      ($F$2:$F$301=F245),0)),"yyyy-mm-dd"),
    "Perlu Klarifikasi"
  )
)</f>
        <v>2024-03-06</v>
      </c>
    </row>
    <row r="246" spans="1:7" x14ac:dyDescent="0.3">
      <c r="A246" s="25" t="s">
        <v>62</v>
      </c>
      <c r="B246" t="s">
        <v>111</v>
      </c>
      <c r="C246">
        <v>6.23</v>
      </c>
      <c r="D246">
        <v>10.09</v>
      </c>
      <c r="E246">
        <v>22</v>
      </c>
      <c r="F246">
        <v>41.47</v>
      </c>
      <c r="G246" s="25" t="str" cm="1">
        <f t="array" ref="G246">IF(
  ISNUMBER(DATEVALUE(A246)),
  TEXT(DATEVALUE(A246),"yyyy-mm-dd"),
  IFERROR(
    TEXT(INDEX($A$2:$A$301,MATCH(1,
      ($B$2:$B$301=B246) * ($C$2:$C$301=C246) * ($D$2:$D$301=D246) * ($E$2:$E$301=E246) *
      ($F$2:$F$301=F246),0)),"yyyy-mm-dd"),
    "Perlu Klarifikasi"
  )
)</f>
        <v>2024-03-07</v>
      </c>
    </row>
    <row r="247" spans="1:7" x14ac:dyDescent="0.3">
      <c r="A247" s="25" t="s">
        <v>62</v>
      </c>
      <c r="B247" t="s">
        <v>108</v>
      </c>
      <c r="C247">
        <v>7.79</v>
      </c>
      <c r="D247">
        <v>10.76</v>
      </c>
      <c r="E247">
        <v>29</v>
      </c>
      <c r="F247">
        <v>81.849999999999994</v>
      </c>
      <c r="G247" s="25" t="str" cm="1">
        <f t="array" ref="G247">IF(
  ISNUMBER(DATEVALUE(A247)),
  TEXT(DATEVALUE(A247),"yyyy-mm-dd"),
  IFERROR(
    TEXT(INDEX($A$2:$A$301,MATCH(1,
      ($B$2:$B$301=B247) * ($C$2:$C$301=C247) * ($D$2:$D$301=D247) * ($E$2:$E$301=E247) *
      ($F$2:$F$301=F247),0)),"yyyy-mm-dd"),
    "Perlu Klarifikasi"
  )
)</f>
        <v>2024-03-07</v>
      </c>
    </row>
    <row r="248" spans="1:7" x14ac:dyDescent="0.3">
      <c r="A248" s="25" t="s">
        <v>62</v>
      </c>
      <c r="B248" t="s">
        <v>109</v>
      </c>
      <c r="C248">
        <v>6.89</v>
      </c>
      <c r="D248">
        <v>12.38</v>
      </c>
      <c r="E248">
        <v>45</v>
      </c>
      <c r="F248">
        <v>110.23</v>
      </c>
      <c r="G248" s="25" t="str" cm="1">
        <f t="array" ref="G248">IF(
  ISNUMBER(DATEVALUE(A248)),
  TEXT(DATEVALUE(A248),"yyyy-mm-dd"),
  IFERROR(
    TEXT(INDEX($A$2:$A$301,MATCH(1,
      ($B$2:$B$301=B248) * ($C$2:$C$301=C248) * ($D$2:$D$301=D248) * ($E$2:$E$301=E248) *
      ($F$2:$F$301=F248),0)),"yyyy-mm-dd"),
    "Perlu Klarifikasi"
  )
)</f>
        <v>2024-03-07</v>
      </c>
    </row>
    <row r="249" spans="1:7" x14ac:dyDescent="0.3">
      <c r="A249" s="25" t="s">
        <v>73</v>
      </c>
      <c r="B249" t="s">
        <v>111</v>
      </c>
      <c r="C249">
        <v>3.31</v>
      </c>
      <c r="D249">
        <v>12.74</v>
      </c>
      <c r="E249">
        <v>44</v>
      </c>
      <c r="F249">
        <v>128.79</v>
      </c>
      <c r="G249" s="25" t="str" cm="1">
        <f t="array" ref="G249">IF(
  ISNUMBER(DATEVALUE(A249)),
  TEXT(DATEVALUE(A249),"yyyy-mm-dd"),
  IFERROR(
    TEXT(INDEX($A$2:$A$301,MATCH(1,
      ($B$2:$B$301=B249) * ($C$2:$C$301=C249) * ($D$2:$D$301=D249) * ($E$2:$E$301=E249) *
      ($F$2:$F$301=F249),0)),"yyyy-mm-dd"),
    "Perlu Klarifikasi"
  )
)</f>
        <v>2024-03-10</v>
      </c>
    </row>
    <row r="250" spans="1:7" x14ac:dyDescent="0.3">
      <c r="A250" s="25" t="s">
        <v>73</v>
      </c>
      <c r="B250" t="s">
        <v>108</v>
      </c>
      <c r="C250">
        <v>7.73</v>
      </c>
      <c r="D250">
        <v>13.89</v>
      </c>
      <c r="E250">
        <v>27</v>
      </c>
      <c r="F250">
        <v>67.13</v>
      </c>
      <c r="G250" s="25" t="str" cm="1">
        <f t="array" ref="G250">IF(
  ISNUMBER(DATEVALUE(A250)),
  TEXT(DATEVALUE(A250),"yyyy-mm-dd"),
  IFERROR(
    TEXT(INDEX($A$2:$A$301,MATCH(1,
      ($B$2:$B$301=B250) * ($C$2:$C$301=C250) * ($D$2:$D$301=D250) * ($E$2:$E$301=E250) *
      ($F$2:$F$301=F250),0)),"yyyy-mm-dd"),
    "Perlu Klarifikasi"
  )
)</f>
        <v>2024-03-10</v>
      </c>
    </row>
    <row r="251" spans="1:7" x14ac:dyDescent="0.3">
      <c r="A251" s="25" t="s">
        <v>73</v>
      </c>
      <c r="B251" t="s">
        <v>108</v>
      </c>
      <c r="C251">
        <v>7.73</v>
      </c>
      <c r="D251">
        <v>13.89</v>
      </c>
      <c r="E251">
        <v>27</v>
      </c>
      <c r="F251">
        <v>67.13</v>
      </c>
      <c r="G251" s="25" t="str" cm="1">
        <f t="array" ref="G251">IF(
  ISNUMBER(DATEVALUE(A251)),
  TEXT(DATEVALUE(A251),"yyyy-mm-dd"),
  IFERROR(
    TEXT(INDEX($A$2:$A$301,MATCH(1,
      ($B$2:$B$301=B251) * ($C$2:$C$301=C251) * ($D$2:$D$301=D251) * ($E$2:$E$301=E251) *
      ($F$2:$F$301=F251),0)),"yyyy-mm-dd"),
    "Perlu Klarifikasi"
  )
)</f>
        <v>2024-03-10</v>
      </c>
    </row>
    <row r="252" spans="1:7" x14ac:dyDescent="0.3">
      <c r="A252" s="25" t="s">
        <v>100</v>
      </c>
      <c r="B252" t="s">
        <v>108</v>
      </c>
      <c r="C252">
        <v>5.58</v>
      </c>
      <c r="D252">
        <v>8.2100000000000009</v>
      </c>
      <c r="E252">
        <v>16</v>
      </c>
      <c r="F252">
        <v>35.880000000000003</v>
      </c>
      <c r="G252" s="25" t="str" cm="1">
        <f t="array" ref="G252">IF(
  ISNUMBER(DATEVALUE(A252)),
  TEXT(DATEVALUE(A252),"yyyy-mm-dd"),
  IFERROR(
    TEXT(INDEX($A$2:$A$301,MATCH(1,
      ($B$2:$B$301=B252) * ($C$2:$C$301=C252) * ($D$2:$D$301=D252) * ($E$2:$E$301=E252) *
      ($F$2:$F$301=F252),0)),"yyyy-mm-dd"),
    "Perlu Klarifikasi"
  )
)</f>
        <v>2024-03-13</v>
      </c>
    </row>
    <row r="253" spans="1:7" x14ac:dyDescent="0.3">
      <c r="A253" s="25" t="s">
        <v>100</v>
      </c>
      <c r="B253" t="s">
        <v>111</v>
      </c>
      <c r="C253">
        <v>5.53</v>
      </c>
      <c r="D253">
        <v>11.09</v>
      </c>
      <c r="E253">
        <v>23</v>
      </c>
      <c r="F253">
        <v>68.33</v>
      </c>
      <c r="G253" s="25" t="str" cm="1">
        <f t="array" ref="G253">IF(
  ISNUMBER(DATEVALUE(A253)),
  TEXT(DATEVALUE(A253),"yyyy-mm-dd"),
  IFERROR(
    TEXT(INDEX($A$2:$A$301,MATCH(1,
      ($B$2:$B$301=B253) * ($C$2:$C$301=C253) * ($D$2:$D$301=D253) * ($E$2:$E$301=E253) *
      ($F$2:$F$301=F253),0)),"yyyy-mm-dd"),
    "Perlu Klarifikasi"
  )
)</f>
        <v>2024-03-13</v>
      </c>
    </row>
    <row r="254" spans="1:7" x14ac:dyDescent="0.3">
      <c r="A254" s="25" t="s">
        <v>100</v>
      </c>
      <c r="B254" t="s">
        <v>108</v>
      </c>
      <c r="C254">
        <v>5.58</v>
      </c>
      <c r="D254">
        <v>8.2100000000000009</v>
      </c>
      <c r="E254">
        <v>16</v>
      </c>
      <c r="F254">
        <v>35.880000000000003</v>
      </c>
      <c r="G254" s="25" t="str" cm="1">
        <f t="array" ref="G254">IF(
  ISNUMBER(DATEVALUE(A254)),
  TEXT(DATEVALUE(A254),"yyyy-mm-dd"),
  IFERROR(
    TEXT(INDEX($A$2:$A$301,MATCH(1,
      ($B$2:$B$301=B254) * ($C$2:$C$301=C254) * ($D$2:$D$301=D254) * ($E$2:$E$301=E254) *
      ($F$2:$F$301=F254),0)),"yyyy-mm-dd"),
    "Perlu Klarifikasi"
  )
)</f>
        <v>2024-03-13</v>
      </c>
    </row>
    <row r="255" spans="1:7" x14ac:dyDescent="0.3">
      <c r="A255" s="25" t="s">
        <v>79</v>
      </c>
      <c r="B255" t="s">
        <v>111</v>
      </c>
      <c r="C255">
        <v>5.48</v>
      </c>
      <c r="D255">
        <v>12.1</v>
      </c>
      <c r="E255">
        <v>45</v>
      </c>
      <c r="F255">
        <v>141.07</v>
      </c>
      <c r="G255" s="25" t="str" cm="1">
        <f t="array" ref="G255">IF(
  ISNUMBER(DATEVALUE(A255)),
  TEXT(DATEVALUE(A255),"yyyy-mm-dd"),
  IFERROR(
    TEXT(INDEX($A$2:$A$301,MATCH(1,
      ($B$2:$B$301=B255) * ($C$2:$C$301=C255) * ($D$2:$D$301=D255) * ($E$2:$E$301=E255) *
      ($F$2:$F$301=F255),0)),"yyyy-mm-dd"),
    "Perlu Klarifikasi"
  )
)</f>
        <v>2024-03-14</v>
      </c>
    </row>
    <row r="256" spans="1:7" x14ac:dyDescent="0.3">
      <c r="A256" s="25" t="s">
        <v>128</v>
      </c>
      <c r="B256" t="s">
        <v>111</v>
      </c>
      <c r="C256">
        <v>3.43</v>
      </c>
      <c r="D256">
        <v>14.74</v>
      </c>
      <c r="E256">
        <v>21</v>
      </c>
      <c r="F256">
        <v>62.83</v>
      </c>
      <c r="G256" s="25" t="str" cm="1">
        <f t="array" ref="G256">IF(
  ISNUMBER(DATEVALUE(A256)),
  TEXT(DATEVALUE(A256),"yyyy-mm-dd"),
  IFERROR(
    TEXT(INDEX($A$2:$A$301,MATCH(1,
      ($B$2:$B$301=B256) * ($C$2:$C$301=C256) * ($D$2:$D$301=D256) * ($E$2:$E$301=E256) *
      ($F$2:$F$301=F256),0)),"yyyy-mm-dd"),
    "Perlu Klarifikasi"
  )
)</f>
        <v>2024-03-15</v>
      </c>
    </row>
    <row r="257" spans="1:7" x14ac:dyDescent="0.3">
      <c r="A257" s="25" t="s">
        <v>37</v>
      </c>
      <c r="B257" t="s">
        <v>111</v>
      </c>
      <c r="C257">
        <v>2.9</v>
      </c>
      <c r="D257">
        <v>7.93</v>
      </c>
      <c r="E257">
        <v>14</v>
      </c>
      <c r="F257">
        <v>47.27</v>
      </c>
      <c r="G257" s="25" t="str" cm="1">
        <f t="array" ref="G257">IF(
  ISNUMBER(DATEVALUE(A257)),
  TEXT(DATEVALUE(A257),"yyyy-mm-dd"),
  IFERROR(
    TEXT(INDEX($A$2:$A$301,MATCH(1,
      ($B$2:$B$301=B257) * ($C$2:$C$301=C257) * ($D$2:$D$301=D257) * ($E$2:$E$301=E257) *
      ($F$2:$F$301=F257),0)),"yyyy-mm-dd"),
    "Perlu Klarifikasi"
  )
)</f>
        <v>2024-03-16</v>
      </c>
    </row>
    <row r="258" spans="1:7" x14ac:dyDescent="0.3">
      <c r="A258" s="25" t="s">
        <v>37</v>
      </c>
      <c r="B258" t="s">
        <v>111</v>
      </c>
      <c r="C258">
        <v>2.9</v>
      </c>
      <c r="D258">
        <v>7.93</v>
      </c>
      <c r="E258">
        <v>14</v>
      </c>
      <c r="F258">
        <v>47.27</v>
      </c>
      <c r="G258" s="25" t="str" cm="1">
        <f t="array" ref="G258">IF(
  ISNUMBER(DATEVALUE(A258)),
  TEXT(DATEVALUE(A258),"yyyy-mm-dd"),
  IFERROR(
    TEXT(INDEX($A$2:$A$301,MATCH(1,
      ($B$2:$B$301=B258) * ($C$2:$C$301=C258) * ($D$2:$D$301=D258) * ($E$2:$E$301=E258) *
      ($F$2:$F$301=F258),0)),"yyyy-mm-dd"),
    "Perlu Klarifikasi"
  )
)</f>
        <v>2024-03-16</v>
      </c>
    </row>
    <row r="259" spans="1:7" x14ac:dyDescent="0.3">
      <c r="A259" s="25" t="s">
        <v>37</v>
      </c>
      <c r="B259" t="s">
        <v>111</v>
      </c>
      <c r="C259">
        <v>2.9</v>
      </c>
      <c r="D259">
        <v>7.93</v>
      </c>
      <c r="E259">
        <v>14</v>
      </c>
      <c r="F259">
        <v>47.27</v>
      </c>
      <c r="G259" s="25" t="str" cm="1">
        <f t="array" ref="G259">IF(
  ISNUMBER(DATEVALUE(A259)),
  TEXT(DATEVALUE(A259),"yyyy-mm-dd"),
  IFERROR(
    TEXT(INDEX($A$2:$A$301,MATCH(1,
      ($B$2:$B$301=B259) * ($C$2:$C$301=C259) * ($D$2:$D$301=D259) * ($E$2:$E$301=E259) *
      ($F$2:$F$301=F259),0)),"yyyy-mm-dd"),
    "Perlu Klarifikasi"
  )
)</f>
        <v>2024-03-16</v>
      </c>
    </row>
    <row r="260" spans="1:7" x14ac:dyDescent="0.3">
      <c r="A260" s="25" t="s">
        <v>44</v>
      </c>
      <c r="B260" t="s">
        <v>113</v>
      </c>
      <c r="C260">
        <v>4.88</v>
      </c>
      <c r="D260">
        <v>13.2</v>
      </c>
      <c r="E260">
        <v>16</v>
      </c>
      <c r="F260">
        <v>31.8</v>
      </c>
      <c r="G260" s="25" t="str" cm="1">
        <f t="array" ref="G260">IF(
  ISNUMBER(DATEVALUE(A260)),
  TEXT(DATEVALUE(A260),"yyyy-mm-dd"),
  IFERROR(
    TEXT(INDEX($A$2:$A$301,MATCH(1,
      ($B$2:$B$301=B260) * ($C$2:$C$301=C260) * ($D$2:$D$301=D260) * ($E$2:$E$301=E260) *
      ($F$2:$F$301=F260),0)),"yyyy-mm-dd"),
    "Perlu Klarifikasi"
  )
)</f>
        <v>2024-03-17</v>
      </c>
    </row>
    <row r="261" spans="1:7" x14ac:dyDescent="0.3">
      <c r="A261" s="25" t="s">
        <v>44</v>
      </c>
      <c r="B261" t="s">
        <v>109</v>
      </c>
      <c r="C261">
        <v>2.2999999999999998</v>
      </c>
      <c r="D261">
        <v>7.43</v>
      </c>
      <c r="E261">
        <v>45</v>
      </c>
      <c r="F261">
        <v>101.27</v>
      </c>
      <c r="G261" s="25" t="str" cm="1">
        <f t="array" ref="G261">IF(
  ISNUMBER(DATEVALUE(A261)),
  TEXT(DATEVALUE(A261),"yyyy-mm-dd"),
  IFERROR(
    TEXT(INDEX($A$2:$A$301,MATCH(1,
      ($B$2:$B$301=B261) * ($C$2:$C$301=C261) * ($D$2:$D$301=D261) * ($E$2:$E$301=E261) *
      ($F$2:$F$301=F261),0)),"yyyy-mm-dd"),
    "Perlu Klarifikasi"
  )
)</f>
        <v>2024-03-17</v>
      </c>
    </row>
    <row r="262" spans="1:7" x14ac:dyDescent="0.3">
      <c r="A262" s="25" t="s">
        <v>44</v>
      </c>
      <c r="B262" t="s">
        <v>111</v>
      </c>
      <c r="C262">
        <v>3.41</v>
      </c>
      <c r="D262">
        <v>5.08</v>
      </c>
      <c r="E262">
        <v>44</v>
      </c>
      <c r="F262">
        <v>148.63</v>
      </c>
      <c r="G262" s="25" t="str" cm="1">
        <f t="array" ref="G262">IF(
  ISNUMBER(DATEVALUE(A262)),
  TEXT(DATEVALUE(A262),"yyyy-mm-dd"),
  IFERROR(
    TEXT(INDEX($A$2:$A$301,MATCH(1,
      ($B$2:$B$301=B262) * ($C$2:$C$301=C262) * ($D$2:$D$301=D262) * ($E$2:$E$301=E262) *
      ($F$2:$F$301=F262),0)),"yyyy-mm-dd"),
    "Perlu Klarifikasi"
  )
)</f>
        <v>2024-03-17</v>
      </c>
    </row>
    <row r="263" spans="1:7" x14ac:dyDescent="0.3">
      <c r="A263" s="25" t="s">
        <v>44</v>
      </c>
      <c r="B263" t="s">
        <v>111</v>
      </c>
      <c r="C263">
        <v>3.41</v>
      </c>
      <c r="D263">
        <v>5.08</v>
      </c>
      <c r="E263">
        <v>44</v>
      </c>
      <c r="F263">
        <v>148.63</v>
      </c>
      <c r="G263" s="25" t="str" cm="1">
        <f t="array" ref="G263">IF(
  ISNUMBER(DATEVALUE(A263)),
  TEXT(DATEVALUE(A263),"yyyy-mm-dd"),
  IFERROR(
    TEXT(INDEX($A$2:$A$301,MATCH(1,
      ($B$2:$B$301=B263) * ($C$2:$C$301=C263) * ($D$2:$D$301=D263) * ($E$2:$E$301=E263) *
      ($F$2:$F$301=F263),0)),"yyyy-mm-dd"),
    "Perlu Klarifikasi"
  )
)</f>
        <v>2024-03-17</v>
      </c>
    </row>
    <row r="264" spans="1:7" x14ac:dyDescent="0.3">
      <c r="A264" s="25" t="s">
        <v>44</v>
      </c>
      <c r="B264" t="s">
        <v>113</v>
      </c>
      <c r="C264">
        <v>4.88</v>
      </c>
      <c r="D264">
        <v>13.2</v>
      </c>
      <c r="E264">
        <v>16</v>
      </c>
      <c r="F264">
        <v>31.8</v>
      </c>
      <c r="G264" s="25" t="str" cm="1">
        <f t="array" ref="G264">IF(
  ISNUMBER(DATEVALUE(A264)),
  TEXT(DATEVALUE(A264),"yyyy-mm-dd"),
  IFERROR(
    TEXT(INDEX($A$2:$A$301,MATCH(1,
      ($B$2:$B$301=B264) * ($C$2:$C$301=C264) * ($D$2:$D$301=D264) * ($E$2:$E$301=E264) *
      ($F$2:$F$301=F264),0)),"yyyy-mm-dd"),
    "Perlu Klarifikasi"
  )
)</f>
        <v>2024-03-17</v>
      </c>
    </row>
    <row r="265" spans="1:7" x14ac:dyDescent="0.3">
      <c r="A265" s="25" t="s">
        <v>44</v>
      </c>
      <c r="B265" t="s">
        <v>109</v>
      </c>
      <c r="C265">
        <v>2.2999999999999998</v>
      </c>
      <c r="D265">
        <v>7.43</v>
      </c>
      <c r="E265">
        <v>45</v>
      </c>
      <c r="F265">
        <v>101.27</v>
      </c>
      <c r="G265" s="25" t="str" cm="1">
        <f t="array" ref="G265">IF(
  ISNUMBER(DATEVALUE(A265)),
  TEXT(DATEVALUE(A265),"yyyy-mm-dd"),
  IFERROR(
    TEXT(INDEX($A$2:$A$301,MATCH(1,
      ($B$2:$B$301=B265) * ($C$2:$C$301=C265) * ($D$2:$D$301=D265) * ($E$2:$E$301=E265) *
      ($F$2:$F$301=F265),0)),"yyyy-mm-dd"),
    "Perlu Klarifikasi"
  )
)</f>
        <v>2024-03-17</v>
      </c>
    </row>
    <row r="266" spans="1:7" x14ac:dyDescent="0.3">
      <c r="A266" s="25" t="s">
        <v>44</v>
      </c>
      <c r="B266" t="s">
        <v>108</v>
      </c>
      <c r="C266">
        <v>4.4000000000000004</v>
      </c>
      <c r="D266">
        <v>5.47</v>
      </c>
      <c r="E266">
        <v>33</v>
      </c>
      <c r="F266">
        <v>69.98</v>
      </c>
      <c r="G266" s="25" t="str" cm="1">
        <f t="array" ref="G266">IF(
  ISNUMBER(DATEVALUE(A266)),
  TEXT(DATEVALUE(A266),"yyyy-mm-dd"),
  IFERROR(
    TEXT(INDEX($A$2:$A$301,MATCH(1,
      ($B$2:$B$301=B266) * ($C$2:$C$301=C266) * ($D$2:$D$301=D266) * ($E$2:$E$301=E266) *
      ($F$2:$F$301=F266),0)),"yyyy-mm-dd"),
    "Perlu Klarifikasi"
  )
)</f>
        <v>2024-03-17</v>
      </c>
    </row>
    <row r="267" spans="1:7" x14ac:dyDescent="0.3">
      <c r="A267" s="25" t="s">
        <v>44</v>
      </c>
      <c r="B267" t="s">
        <v>108</v>
      </c>
      <c r="C267">
        <v>4.4000000000000004</v>
      </c>
      <c r="D267">
        <v>5.47</v>
      </c>
      <c r="E267">
        <v>33</v>
      </c>
      <c r="F267">
        <v>69.98</v>
      </c>
      <c r="G267" s="25" t="str" cm="1">
        <f t="array" ref="G267">IF(
  ISNUMBER(DATEVALUE(A267)),
  TEXT(DATEVALUE(A267),"yyyy-mm-dd"),
  IFERROR(
    TEXT(INDEX($A$2:$A$301,MATCH(1,
      ($B$2:$B$301=B267) * ($C$2:$C$301=C267) * ($D$2:$D$301=D267) * ($E$2:$E$301=E267) *
      ($F$2:$F$301=F267),0)),"yyyy-mm-dd"),
    "Perlu Klarifikasi"
  )
)</f>
        <v>2024-03-17</v>
      </c>
    </row>
    <row r="268" spans="1:7" x14ac:dyDescent="0.3">
      <c r="A268" s="25" t="s">
        <v>44</v>
      </c>
      <c r="B268" t="s">
        <v>109</v>
      </c>
      <c r="C268">
        <v>4.75</v>
      </c>
      <c r="D268">
        <v>14.98</v>
      </c>
      <c r="E268">
        <v>19</v>
      </c>
      <c r="F268">
        <v>44.8</v>
      </c>
      <c r="G268" s="25" t="str" cm="1">
        <f t="array" ref="G268">IF(
  ISNUMBER(DATEVALUE(A268)),
  TEXT(DATEVALUE(A268),"yyyy-mm-dd"),
  IFERROR(
    TEXT(INDEX($A$2:$A$301,MATCH(1,
      ($B$2:$B$301=B268) * ($C$2:$C$301=C268) * ($D$2:$D$301=D268) * ($E$2:$E$301=E268) *
      ($F$2:$F$301=F268),0)),"yyyy-mm-dd"),
    "Perlu Klarifikasi"
  )
)</f>
        <v>2024-03-17</v>
      </c>
    </row>
    <row r="269" spans="1:7" x14ac:dyDescent="0.3">
      <c r="A269" s="26" t="s">
        <v>52</v>
      </c>
      <c r="B269" s="22" t="s">
        <v>108</v>
      </c>
      <c r="C269" s="22">
        <v>4.4000000000000004</v>
      </c>
      <c r="D269" s="22">
        <v>5.47</v>
      </c>
      <c r="E269" s="22">
        <v>33</v>
      </c>
      <c r="F269" s="22">
        <v>69.98</v>
      </c>
      <c r="G269" s="25" t="str" cm="1">
        <f t="array" ref="G269">IF(
  ISNUMBER(DATEVALUE(A269)),
  TEXT(DATEVALUE(A269),"yyyy-mm-dd"),
  IFERROR(
    TEXT(INDEX($A$2:$A$301,MATCH(1,
      ($B$2:$B$301=B269) * ($C$2:$C$301=C269) * ($D$2:$D$301=D269) * ($E$2:$E$301=E269) *
      ($F$2:$F$301=F269),0)),"yyyy-mm-dd"),
    "Perlu Klarifikasi"
  )
)</f>
        <v>2024-03-17</v>
      </c>
    </row>
    <row r="270" spans="1:7" x14ac:dyDescent="0.3">
      <c r="A270" s="25" t="s">
        <v>77</v>
      </c>
      <c r="B270" t="s">
        <v>111</v>
      </c>
      <c r="C270">
        <v>6.32</v>
      </c>
      <c r="D270">
        <v>11.06</v>
      </c>
      <c r="E270">
        <v>27</v>
      </c>
      <c r="F270">
        <v>57.64</v>
      </c>
      <c r="G270" s="25" t="str" cm="1">
        <f t="array" ref="G270">IF(
  ISNUMBER(DATEVALUE(A270)),
  TEXT(DATEVALUE(A270),"yyyy-mm-dd"),
  IFERROR(
    TEXT(INDEX($A$2:$A$301,MATCH(1,
      ($B$2:$B$301=B270) * ($C$2:$C$301=C270) * ($D$2:$D$301=D270) * ($E$2:$E$301=E270) *
      ($F$2:$F$301=F270),0)),"yyyy-mm-dd"),
    "Perlu Klarifikasi"
  )
)</f>
        <v>2024-03-18</v>
      </c>
    </row>
    <row r="271" spans="1:7" x14ac:dyDescent="0.3">
      <c r="A271" s="25" t="s">
        <v>77</v>
      </c>
      <c r="B271" t="s">
        <v>111</v>
      </c>
      <c r="C271">
        <v>6.32</v>
      </c>
      <c r="D271">
        <v>11.06</v>
      </c>
      <c r="E271">
        <v>27</v>
      </c>
      <c r="F271">
        <v>57.64</v>
      </c>
      <c r="G271" s="25" t="str" cm="1">
        <f t="array" ref="G271">IF(
  ISNUMBER(DATEVALUE(A271)),
  TEXT(DATEVALUE(A271),"yyyy-mm-dd"),
  IFERROR(
    TEXT(INDEX($A$2:$A$301,MATCH(1,
      ($B$2:$B$301=B271) * ($C$2:$C$301=C271) * ($D$2:$D$301=D271) * ($E$2:$E$301=E271) *
      ($F$2:$F$301=F271),0)),"yyyy-mm-dd"),
    "Perlu Klarifikasi"
  )
)</f>
        <v>2024-03-18</v>
      </c>
    </row>
    <row r="272" spans="1:7" x14ac:dyDescent="0.3">
      <c r="A272" s="25" t="s">
        <v>98</v>
      </c>
      <c r="B272" t="s">
        <v>109</v>
      </c>
      <c r="C272">
        <v>7.47</v>
      </c>
      <c r="D272">
        <v>14.29</v>
      </c>
      <c r="E272">
        <v>36</v>
      </c>
      <c r="F272">
        <v>80.42</v>
      </c>
      <c r="G272" s="25" t="str" cm="1">
        <f t="array" ref="G272">IF(
  ISNUMBER(DATEVALUE(A272)),
  TEXT(DATEVALUE(A272),"yyyy-mm-dd"),
  IFERROR(
    TEXT(INDEX($A$2:$A$301,MATCH(1,
      ($B$2:$B$301=B272) * ($C$2:$C$301=C272) * ($D$2:$D$301=D272) * ($E$2:$E$301=E272) *
      ($F$2:$F$301=F272),0)),"yyyy-mm-dd"),
    "Perlu Klarifikasi"
  )
)</f>
        <v>2024-03-19</v>
      </c>
    </row>
    <row r="273" spans="1:7" x14ac:dyDescent="0.3">
      <c r="A273" s="25" t="s">
        <v>98</v>
      </c>
      <c r="B273" t="s">
        <v>115</v>
      </c>
      <c r="C273">
        <v>3.76</v>
      </c>
      <c r="D273">
        <v>9.0299999999999994</v>
      </c>
      <c r="E273">
        <v>21</v>
      </c>
      <c r="F273">
        <v>47.13</v>
      </c>
      <c r="G273" s="25" t="str" cm="1">
        <f t="array" ref="G273">IF(
  ISNUMBER(DATEVALUE(A273)),
  TEXT(DATEVALUE(A273),"yyyy-mm-dd"),
  IFERROR(
    TEXT(INDEX($A$2:$A$301,MATCH(1,
      ($B$2:$B$301=B273) * ($C$2:$C$301=C273) * ($D$2:$D$301=D273) * ($E$2:$E$301=E273) *
      ($F$2:$F$301=F273),0)),"yyyy-mm-dd"),
    "Perlu Klarifikasi"
  )
)</f>
        <v>2024-03-19</v>
      </c>
    </row>
    <row r="274" spans="1:7" x14ac:dyDescent="0.3">
      <c r="A274" s="25" t="s">
        <v>99</v>
      </c>
      <c r="B274" t="s">
        <v>109</v>
      </c>
      <c r="C274">
        <v>2.17</v>
      </c>
      <c r="D274">
        <v>10.91</v>
      </c>
      <c r="E274">
        <v>20</v>
      </c>
      <c r="F274">
        <v>60.57</v>
      </c>
      <c r="G274" s="25" t="str" cm="1">
        <f t="array" ref="G274">IF(
  ISNUMBER(DATEVALUE(A274)),
  TEXT(DATEVALUE(A274),"yyyy-mm-dd"),
  IFERROR(
    TEXT(INDEX($A$2:$A$301,MATCH(1,
      ($B$2:$B$301=B274) * ($C$2:$C$301=C274) * ($D$2:$D$301=D274) * ($E$2:$E$301=E274) *
      ($F$2:$F$301=F274),0)),"yyyy-mm-dd"),
    "Perlu Klarifikasi"
  )
)</f>
        <v>2024-03-20</v>
      </c>
    </row>
    <row r="275" spans="1:7" x14ac:dyDescent="0.3">
      <c r="A275" s="25" t="s">
        <v>99</v>
      </c>
      <c r="B275" t="s">
        <v>115</v>
      </c>
      <c r="C275">
        <v>7.22</v>
      </c>
      <c r="D275">
        <v>6.75</v>
      </c>
      <c r="E275">
        <v>36</v>
      </c>
      <c r="F275">
        <v>68.5</v>
      </c>
      <c r="G275" s="25" t="str" cm="1">
        <f t="array" ref="G275">IF(
  ISNUMBER(DATEVALUE(A275)),
  TEXT(DATEVALUE(A275),"yyyy-mm-dd"),
  IFERROR(
    TEXT(INDEX($A$2:$A$301,MATCH(1,
      ($B$2:$B$301=B275) * ($C$2:$C$301=C275) * ($D$2:$D$301=D275) * ($E$2:$E$301=E275) *
      ($F$2:$F$301=F275),0)),"yyyy-mm-dd"),
    "Perlu Klarifikasi"
  )
)</f>
        <v>2024-03-20</v>
      </c>
    </row>
    <row r="276" spans="1:7" x14ac:dyDescent="0.3">
      <c r="A276" s="25" t="s">
        <v>99</v>
      </c>
      <c r="B276" t="s">
        <v>109</v>
      </c>
      <c r="C276">
        <v>2.17</v>
      </c>
      <c r="D276">
        <v>10.91</v>
      </c>
      <c r="E276">
        <v>20</v>
      </c>
      <c r="F276">
        <v>60.57</v>
      </c>
      <c r="G276" s="25" t="str" cm="1">
        <f t="array" ref="G276">IF(
  ISNUMBER(DATEVALUE(A276)),
  TEXT(DATEVALUE(A276),"yyyy-mm-dd"),
  IFERROR(
    TEXT(INDEX($A$2:$A$301,MATCH(1,
      ($B$2:$B$301=B276) * ($C$2:$C$301=C276) * ($D$2:$D$301=D276) * ($E$2:$E$301=E276) *
      ($F$2:$F$301=F276),0)),"yyyy-mm-dd"),
    "Perlu Klarifikasi"
  )
)</f>
        <v>2024-03-20</v>
      </c>
    </row>
    <row r="277" spans="1:7" x14ac:dyDescent="0.3">
      <c r="A277" s="25" t="s">
        <v>121</v>
      </c>
      <c r="B277" t="s">
        <v>111</v>
      </c>
      <c r="C277">
        <v>4.04</v>
      </c>
      <c r="D277">
        <v>13.77</v>
      </c>
      <c r="E277">
        <v>29</v>
      </c>
      <c r="F277">
        <v>57.47</v>
      </c>
      <c r="G277" s="25" t="str" cm="1">
        <f t="array" ref="G277">IF(
  ISNUMBER(DATEVALUE(A277)),
  TEXT(DATEVALUE(A277),"yyyy-mm-dd"),
  IFERROR(
    TEXT(INDEX($A$2:$A$301,MATCH(1,
      ($B$2:$B$301=B277) * ($C$2:$C$301=C277) * ($D$2:$D$301=D277) * ($E$2:$E$301=E277) *
      ($F$2:$F$301=F277),0)),"yyyy-mm-dd"),
    "Perlu Klarifikasi"
  )
)</f>
        <v>2024-03-21</v>
      </c>
    </row>
    <row r="278" spans="1:7" x14ac:dyDescent="0.3">
      <c r="A278" s="25" t="s">
        <v>121</v>
      </c>
      <c r="B278" t="s">
        <v>111</v>
      </c>
      <c r="C278">
        <v>4.04</v>
      </c>
      <c r="D278">
        <v>13.77</v>
      </c>
      <c r="E278">
        <v>29</v>
      </c>
      <c r="F278">
        <v>57.47</v>
      </c>
      <c r="G278" s="25" t="str" cm="1">
        <f t="array" ref="G278">IF(
  ISNUMBER(DATEVALUE(A278)),
  TEXT(DATEVALUE(A278),"yyyy-mm-dd"),
  IFERROR(
    TEXT(INDEX($A$2:$A$301,MATCH(1,
      ($B$2:$B$301=B278) * ($C$2:$C$301=C278) * ($D$2:$D$301=D278) * ($E$2:$E$301=E278) *
      ($F$2:$F$301=F278),0)),"yyyy-mm-dd"),
    "Perlu Klarifikasi"
  )
)</f>
        <v>2024-03-21</v>
      </c>
    </row>
    <row r="279" spans="1:7" x14ac:dyDescent="0.3">
      <c r="A279" s="26" t="s">
        <v>52</v>
      </c>
      <c r="B279" s="22" t="s">
        <v>111</v>
      </c>
      <c r="C279" s="22">
        <v>4.04</v>
      </c>
      <c r="D279" s="22">
        <v>13.77</v>
      </c>
      <c r="E279" s="22">
        <v>29</v>
      </c>
      <c r="F279" s="22">
        <v>57.47</v>
      </c>
      <c r="G279" s="25" t="str" cm="1">
        <f t="array" ref="G279">IF(
  ISNUMBER(DATEVALUE(A279)),
  TEXT(DATEVALUE(A279),"yyyy-mm-dd"),
  IFERROR(
    TEXT(INDEX($A$2:$A$301,MATCH(1,
      ($B$2:$B$301=B279) * ($C$2:$C$301=C279) * ($D$2:$D$301=D279) * ($E$2:$E$301=E279) *
      ($F$2:$F$301=F279),0)),"yyyy-mm-dd"),
    "Perlu Klarifikasi"
  )
)</f>
        <v>2024-03-21</v>
      </c>
    </row>
    <row r="280" spans="1:7" x14ac:dyDescent="0.3">
      <c r="A280" s="25" t="s">
        <v>48</v>
      </c>
      <c r="B280" t="s">
        <v>115</v>
      </c>
      <c r="C280">
        <v>7.9</v>
      </c>
      <c r="D280">
        <v>10.06</v>
      </c>
      <c r="E280">
        <v>24</v>
      </c>
      <c r="F280">
        <v>57.23</v>
      </c>
      <c r="G280" s="25" t="str" cm="1">
        <f t="array" ref="G280">IF(
  ISNUMBER(DATEVALUE(A280)),
  TEXT(DATEVALUE(A280),"yyyy-mm-dd"),
  IFERROR(
    TEXT(INDEX($A$2:$A$301,MATCH(1,
      ($B$2:$B$301=B280) * ($C$2:$C$301=C280) * ($D$2:$D$301=D280) * ($E$2:$E$301=E280) *
      ($F$2:$F$301=F280),0)),"yyyy-mm-dd"),
    "Perlu Klarifikasi"
  )
)</f>
        <v>2024-03-22</v>
      </c>
    </row>
    <row r="281" spans="1:7" x14ac:dyDescent="0.3">
      <c r="A281" s="25" t="s">
        <v>48</v>
      </c>
      <c r="B281" t="s">
        <v>109</v>
      </c>
      <c r="C281">
        <v>2.62</v>
      </c>
      <c r="D281">
        <v>5.98</v>
      </c>
      <c r="E281">
        <v>40</v>
      </c>
      <c r="F281">
        <v>122.24</v>
      </c>
      <c r="G281" s="25" t="str" cm="1">
        <f t="array" ref="G281">IF(
  ISNUMBER(DATEVALUE(A281)),
  TEXT(DATEVALUE(A281),"yyyy-mm-dd"),
  IFERROR(
    TEXT(INDEX($A$2:$A$301,MATCH(1,
      ($B$2:$B$301=B281) * ($C$2:$C$301=C281) * ($D$2:$D$301=D281) * ($E$2:$E$301=E281) *
      ($F$2:$F$301=F281),0)),"yyyy-mm-dd"),
    "Perlu Klarifikasi"
  )
)</f>
        <v>2024-03-22</v>
      </c>
    </row>
    <row r="282" spans="1:7" x14ac:dyDescent="0.3">
      <c r="A282" s="25" t="s">
        <v>48</v>
      </c>
      <c r="B282" t="s">
        <v>109</v>
      </c>
      <c r="C282">
        <v>2.62</v>
      </c>
      <c r="D282">
        <v>5.98</v>
      </c>
      <c r="E282">
        <v>40</v>
      </c>
      <c r="F282">
        <v>122.24</v>
      </c>
      <c r="G282" s="25" t="str" cm="1">
        <f t="array" ref="G282">IF(
  ISNUMBER(DATEVALUE(A282)),
  TEXT(DATEVALUE(A282),"yyyy-mm-dd"),
  IFERROR(
    TEXT(INDEX($A$2:$A$301,MATCH(1,
      ($B$2:$B$301=B282) * ($C$2:$C$301=C282) * ($D$2:$D$301=D282) * ($E$2:$E$301=E282) *
      ($F$2:$F$301=F282),0)),"yyyy-mm-dd"),
    "Perlu Klarifikasi"
  )
)</f>
        <v>2024-03-22</v>
      </c>
    </row>
    <row r="283" spans="1:7" x14ac:dyDescent="0.3">
      <c r="A283" s="25" t="s">
        <v>48</v>
      </c>
      <c r="B283" t="s">
        <v>111</v>
      </c>
      <c r="C283">
        <v>4.91</v>
      </c>
      <c r="D283">
        <v>5.0199999999999996</v>
      </c>
      <c r="E283">
        <v>43</v>
      </c>
      <c r="F283" s="22">
        <f>F284</f>
        <v>102.55</v>
      </c>
      <c r="G283" s="25" t="str" cm="1">
        <f t="array" ref="G283">IF(
  ISNUMBER(DATEVALUE(A283)),
  TEXT(DATEVALUE(A283),"yyyy-mm-dd"),
  IFERROR(
    TEXT(INDEX($A$2:$A$301,MATCH(1,
      ($B$2:$B$301=B283) * ($C$2:$C$301=C283) * ($D$2:$D$301=D283) * ($E$2:$E$301=E283) *
      ($F$2:$F$301=F283),0)),"yyyy-mm-dd"),
    "Perlu Klarifikasi"
  )
)</f>
        <v>2024-03-22</v>
      </c>
    </row>
    <row r="284" spans="1:7" x14ac:dyDescent="0.3">
      <c r="A284" s="25" t="s">
        <v>48</v>
      </c>
      <c r="B284" t="s">
        <v>111</v>
      </c>
      <c r="C284">
        <v>4.91</v>
      </c>
      <c r="D284">
        <v>5.0199999999999996</v>
      </c>
      <c r="E284">
        <v>43</v>
      </c>
      <c r="F284">
        <v>102.55</v>
      </c>
      <c r="G284" s="25" t="str" cm="1">
        <f t="array" ref="G284">IF(
  ISNUMBER(DATEVALUE(A284)),
  TEXT(DATEVALUE(A284),"yyyy-mm-dd"),
  IFERROR(
    TEXT(INDEX($A$2:$A$301,MATCH(1,
      ($B$2:$B$301=B284) * ($C$2:$C$301=C284) * ($D$2:$D$301=D284) * ($E$2:$E$301=E284) *
      ($F$2:$F$301=F284),0)),"yyyy-mm-dd"),
    "Perlu Klarifikasi"
  )
)</f>
        <v>2024-03-22</v>
      </c>
    </row>
    <row r="285" spans="1:7" x14ac:dyDescent="0.3">
      <c r="A285" s="25" t="s">
        <v>48</v>
      </c>
      <c r="B285" t="s">
        <v>115</v>
      </c>
      <c r="C285">
        <v>7.9</v>
      </c>
      <c r="D285">
        <v>10.06</v>
      </c>
      <c r="E285">
        <v>24</v>
      </c>
      <c r="F285">
        <v>57.23</v>
      </c>
      <c r="G285" s="25" t="str" cm="1">
        <f t="array" ref="G285">IF(
  ISNUMBER(DATEVALUE(A285)),
  TEXT(DATEVALUE(A285),"yyyy-mm-dd"),
  IFERROR(
    TEXT(INDEX($A$2:$A$301,MATCH(1,
      ($B$2:$B$301=B285) * ($C$2:$C$301=C285) * ($D$2:$D$301=D285) * ($E$2:$E$301=E285) *
      ($F$2:$F$301=F285),0)),"yyyy-mm-dd"),
    "Perlu Klarifikasi"
  )
)</f>
        <v>2024-03-22</v>
      </c>
    </row>
    <row r="286" spans="1:7" x14ac:dyDescent="0.3">
      <c r="A286" s="25" t="s">
        <v>91</v>
      </c>
      <c r="B286" t="s">
        <v>113</v>
      </c>
      <c r="C286">
        <v>4.7</v>
      </c>
      <c r="D286">
        <v>9.85</v>
      </c>
      <c r="E286">
        <v>36</v>
      </c>
      <c r="F286">
        <v>81.27</v>
      </c>
      <c r="G286" s="25" t="str" cm="1">
        <f t="array" ref="G286">IF(
  ISNUMBER(DATEVALUE(A286)),
  TEXT(DATEVALUE(A286),"yyyy-mm-dd"),
  IFERROR(
    TEXT(INDEX($A$2:$A$301,MATCH(1,
      ($B$2:$B$301=B286) * ($C$2:$C$301=C286) * ($D$2:$D$301=D286) * ($E$2:$E$301=E286) *
      ($F$2:$F$301=F286),0)),"yyyy-mm-dd"),
    "Perlu Klarifikasi"
  )
)</f>
        <v>2024-03-24</v>
      </c>
    </row>
    <row r="287" spans="1:7" x14ac:dyDescent="0.3">
      <c r="A287" s="25" t="s">
        <v>118</v>
      </c>
      <c r="B287" t="s">
        <v>113</v>
      </c>
      <c r="C287">
        <v>4.0599999999999996</v>
      </c>
      <c r="D287">
        <v>6.52</v>
      </c>
      <c r="E287">
        <v>21</v>
      </c>
      <c r="F287">
        <v>61.57</v>
      </c>
      <c r="G287" s="25" t="str" cm="1">
        <f t="array" ref="G287">IF(
  ISNUMBER(DATEVALUE(A287)),
  TEXT(DATEVALUE(A287),"yyyy-mm-dd"),
  IFERROR(
    TEXT(INDEX($A$2:$A$301,MATCH(1,
      ($B$2:$B$301=B287) * ($C$2:$C$301=C287) * ($D$2:$D$301=D287) * ($E$2:$E$301=E287) *
      ($F$2:$F$301=F287),0)),"yyyy-mm-dd"),
    "Perlu Klarifikasi"
  )
)</f>
        <v>2024-03-25</v>
      </c>
    </row>
    <row r="288" spans="1:7" x14ac:dyDescent="0.3">
      <c r="A288" s="25" t="s">
        <v>118</v>
      </c>
      <c r="B288" t="s">
        <v>109</v>
      </c>
      <c r="C288">
        <v>7.54</v>
      </c>
      <c r="D288">
        <v>14.97</v>
      </c>
      <c r="E288">
        <v>19</v>
      </c>
      <c r="F288">
        <v>41.38</v>
      </c>
      <c r="G288" s="25" t="str" cm="1">
        <f t="array" ref="G288">IF(
  ISNUMBER(DATEVALUE(A288)),
  TEXT(DATEVALUE(A288),"yyyy-mm-dd"),
  IFERROR(
    TEXT(INDEX($A$2:$A$301,MATCH(1,
      ($B$2:$B$301=B288) * ($C$2:$C$301=C288) * ($D$2:$D$301=D288) * ($E$2:$E$301=E288) *
      ($F$2:$F$301=F288),0)),"yyyy-mm-dd"),
    "Perlu Klarifikasi"
  )
)</f>
        <v>2024-03-25</v>
      </c>
    </row>
    <row r="289" spans="1:7" x14ac:dyDescent="0.3">
      <c r="A289" s="25" t="s">
        <v>118</v>
      </c>
      <c r="B289" t="s">
        <v>113</v>
      </c>
      <c r="C289">
        <v>6.49</v>
      </c>
      <c r="D289">
        <v>6.23</v>
      </c>
      <c r="E289">
        <v>34</v>
      </c>
      <c r="F289">
        <v>113.14</v>
      </c>
      <c r="G289" s="25" t="str" cm="1">
        <f t="array" ref="G289">IF(
  ISNUMBER(DATEVALUE(A289)),
  TEXT(DATEVALUE(A289),"yyyy-mm-dd"),
  IFERROR(
    TEXT(INDEX($A$2:$A$301,MATCH(1,
      ($B$2:$B$301=B289) * ($C$2:$C$301=C289) * ($D$2:$D$301=D289) * ($E$2:$E$301=E289) *
      ($F$2:$F$301=F289),0)),"yyyy-mm-dd"),
    "Perlu Klarifikasi"
  )
)</f>
        <v>2024-03-25</v>
      </c>
    </row>
    <row r="290" spans="1:7" x14ac:dyDescent="0.3">
      <c r="A290" s="25" t="s">
        <v>118</v>
      </c>
      <c r="B290" t="s">
        <v>109</v>
      </c>
      <c r="C290">
        <v>7.54</v>
      </c>
      <c r="D290">
        <v>14.97</v>
      </c>
      <c r="E290">
        <v>19</v>
      </c>
      <c r="F290">
        <v>41.38</v>
      </c>
      <c r="G290" s="25" t="str" cm="1">
        <f t="array" ref="G290">IF(
  ISNUMBER(DATEVALUE(A290)),
  TEXT(DATEVALUE(A290),"yyyy-mm-dd"),
  IFERROR(
    TEXT(INDEX($A$2:$A$301,MATCH(1,
      ($B$2:$B$301=B290) * ($C$2:$C$301=C290) * ($D$2:$D$301=D290) * ($E$2:$E$301=E290) *
      ($F$2:$F$301=F290),0)),"yyyy-mm-dd"),
    "Perlu Klarifikasi"
  )
)</f>
        <v>2024-03-25</v>
      </c>
    </row>
    <row r="291" spans="1:7" x14ac:dyDescent="0.3">
      <c r="A291" s="25" t="s">
        <v>118</v>
      </c>
      <c r="B291" t="s">
        <v>113</v>
      </c>
      <c r="C291">
        <v>6.49</v>
      </c>
      <c r="D291">
        <v>6.23</v>
      </c>
      <c r="E291">
        <v>34</v>
      </c>
      <c r="F291">
        <v>113.14</v>
      </c>
      <c r="G291" s="25" t="str" cm="1">
        <f t="array" ref="G291">IF(
  ISNUMBER(DATEVALUE(A291)),
  TEXT(DATEVALUE(A291),"yyyy-mm-dd"),
  IFERROR(
    TEXT(INDEX($A$2:$A$301,MATCH(1,
      ($B$2:$B$301=B291) * ($C$2:$C$301=C291) * ($D$2:$D$301=D291) * ($E$2:$E$301=E291) *
      ($F$2:$F$301=F291),0)),"yyyy-mm-dd"),
    "Perlu Klarifikasi"
  )
)</f>
        <v>2024-03-25</v>
      </c>
    </row>
    <row r="292" spans="1:7" x14ac:dyDescent="0.3">
      <c r="A292" s="25" t="s">
        <v>118</v>
      </c>
      <c r="B292" t="s">
        <v>109</v>
      </c>
      <c r="C292">
        <v>7.54</v>
      </c>
      <c r="D292">
        <v>14.97</v>
      </c>
      <c r="E292">
        <v>19</v>
      </c>
      <c r="F292">
        <v>41.38</v>
      </c>
      <c r="G292" s="25" t="str" cm="1">
        <f t="array" ref="G292">IF(
  ISNUMBER(DATEVALUE(A292)),
  TEXT(DATEVALUE(A292),"yyyy-mm-dd"),
  IFERROR(
    TEXT(INDEX($A$2:$A$301,MATCH(1,
      ($B$2:$B$301=B292) * ($C$2:$C$301=C292) * ($D$2:$D$301=D292) * ($E$2:$E$301=E292) *
      ($F$2:$F$301=F292),0)),"yyyy-mm-dd"),
    "Perlu Klarifikasi"
  )
)</f>
        <v>2024-03-25</v>
      </c>
    </row>
    <row r="293" spans="1:7" x14ac:dyDescent="0.3">
      <c r="A293" s="25" t="s">
        <v>125</v>
      </c>
      <c r="B293" t="s">
        <v>111</v>
      </c>
      <c r="C293">
        <v>5.76</v>
      </c>
      <c r="D293">
        <v>9.5299999999999994</v>
      </c>
      <c r="E293">
        <v>10</v>
      </c>
      <c r="F293">
        <v>27.94</v>
      </c>
      <c r="G293" s="25" t="str" cm="1">
        <f t="array" ref="G293">IF(
  ISNUMBER(DATEVALUE(A293)),
  TEXT(DATEVALUE(A293),"yyyy-mm-dd"),
  IFERROR(
    TEXT(INDEX($A$2:$A$301,MATCH(1,
      ($B$2:$B$301=B293) * ($C$2:$C$301=C293) * ($D$2:$D$301=D293) * ($E$2:$E$301=E293) *
      ($F$2:$F$301=F293),0)),"yyyy-mm-dd"),
    "Perlu Klarifikasi"
  )
)</f>
        <v>2024-03-26</v>
      </c>
    </row>
    <row r="294" spans="1:7" x14ac:dyDescent="0.3">
      <c r="A294" s="25" t="s">
        <v>69</v>
      </c>
      <c r="B294" t="s">
        <v>108</v>
      </c>
      <c r="C294">
        <v>6.86</v>
      </c>
      <c r="D294">
        <v>6.9</v>
      </c>
      <c r="E294">
        <v>11</v>
      </c>
      <c r="F294">
        <v>35.299999999999997</v>
      </c>
      <c r="G294" s="25" t="str" cm="1">
        <f t="array" ref="G294">IF(
  ISNUMBER(DATEVALUE(A294)),
  TEXT(DATEVALUE(A294),"yyyy-mm-dd"),
  IFERROR(
    TEXT(INDEX($A$2:$A$301,MATCH(1,
      ($B$2:$B$301=B294) * ($C$2:$C$301=C294) * ($D$2:$D$301=D294) * ($E$2:$E$301=E294) *
      ($F$2:$F$301=F294),0)),"yyyy-mm-dd"),
    "Perlu Klarifikasi"
  )
)</f>
        <v>2024-03-27</v>
      </c>
    </row>
    <row r="295" spans="1:7" x14ac:dyDescent="0.3">
      <c r="A295" s="25" t="s">
        <v>43</v>
      </c>
      <c r="B295" t="s">
        <v>111</v>
      </c>
      <c r="C295">
        <v>4.1900000000000004</v>
      </c>
      <c r="D295">
        <v>5.22</v>
      </c>
      <c r="E295">
        <v>32</v>
      </c>
      <c r="F295">
        <v>105.24</v>
      </c>
      <c r="G295" s="25" t="str" cm="1">
        <f t="array" ref="G295">IF(
  ISNUMBER(DATEVALUE(A295)),
  TEXT(DATEVALUE(A295),"yyyy-mm-dd"),
  IFERROR(
    TEXT(INDEX($A$2:$A$301,MATCH(1,
      ($B$2:$B$301=B295) * ($C$2:$C$301=C295) * ($D$2:$D$301=D295) * ($E$2:$E$301=E295) *
      ($F$2:$F$301=F295),0)),"yyyy-mm-dd"),
    "Perlu Klarifikasi"
  )
)</f>
        <v>2024-03-28</v>
      </c>
    </row>
    <row r="296" spans="1:7" x14ac:dyDescent="0.3">
      <c r="A296" s="25" t="s">
        <v>43</v>
      </c>
      <c r="B296" t="s">
        <v>111</v>
      </c>
      <c r="C296">
        <v>4.1900000000000004</v>
      </c>
      <c r="D296">
        <v>5.22</v>
      </c>
      <c r="E296">
        <v>32</v>
      </c>
      <c r="F296">
        <v>105.24</v>
      </c>
      <c r="G296" s="25" t="str" cm="1">
        <f t="array" ref="G296">IF(
  ISNUMBER(DATEVALUE(A296)),
  TEXT(DATEVALUE(A296),"yyyy-mm-dd"),
  IFERROR(
    TEXT(INDEX($A$2:$A$301,MATCH(1,
      ($B$2:$B$301=B296) * ($C$2:$C$301=C296) * ($D$2:$D$301=D296) * ($E$2:$E$301=E296) *
      ($F$2:$F$301=F296),0)),"yyyy-mm-dd"),
    "Perlu Klarifikasi"
  )
)</f>
        <v>2024-03-28</v>
      </c>
    </row>
    <row r="297" spans="1:7" x14ac:dyDescent="0.3">
      <c r="A297" s="25" t="s">
        <v>63</v>
      </c>
      <c r="B297" t="s">
        <v>113</v>
      </c>
      <c r="C297">
        <v>4.57</v>
      </c>
      <c r="D297">
        <v>10.56</v>
      </c>
      <c r="E297">
        <v>41</v>
      </c>
      <c r="F297">
        <v>139.38999999999999</v>
      </c>
      <c r="G297" s="25" t="str" cm="1">
        <f t="array" ref="G297">IF(
  ISNUMBER(DATEVALUE(A297)),
  TEXT(DATEVALUE(A297),"yyyy-mm-dd"),
  IFERROR(
    TEXT(INDEX($A$2:$A$301,MATCH(1,
      ($B$2:$B$301=B297) * ($C$2:$C$301=C297) * ($D$2:$D$301=D297) * ($E$2:$E$301=E297) *
      ($F$2:$F$301=F297),0)),"yyyy-mm-dd"),
    "Perlu Klarifikasi"
  )
)</f>
        <v>2024-03-30</v>
      </c>
    </row>
    <row r="298" spans="1:7" x14ac:dyDescent="0.3">
      <c r="A298" s="25" t="s">
        <v>63</v>
      </c>
      <c r="B298" t="s">
        <v>113</v>
      </c>
      <c r="C298">
        <v>4.57</v>
      </c>
      <c r="D298">
        <v>10.56</v>
      </c>
      <c r="E298">
        <v>41</v>
      </c>
      <c r="F298" s="22">
        <f>F297</f>
        <v>139.38999999999999</v>
      </c>
      <c r="G298" s="25" t="str" cm="1">
        <f t="array" ref="G298">IF(
  ISNUMBER(DATEVALUE(A298)),
  TEXT(DATEVALUE(A298),"yyyy-mm-dd"),
  IFERROR(
    TEXT(INDEX($A$2:$A$301,MATCH(1,
      ($B$2:$B$301=B298) * ($C$2:$C$301=C298) * ($D$2:$D$301=D298) * ($E$2:$E$301=E298) *
      ($F$2:$F$301=F298),0)),"yyyy-mm-dd"),
    "Perlu Klarifikasi"
  )
)</f>
        <v>2024-03-30</v>
      </c>
    </row>
    <row r="299" spans="1:7" x14ac:dyDescent="0.3">
      <c r="A299" s="25" t="s">
        <v>63</v>
      </c>
      <c r="B299" t="s">
        <v>113</v>
      </c>
      <c r="C299">
        <v>4.57</v>
      </c>
      <c r="D299">
        <v>10.56</v>
      </c>
      <c r="E299">
        <v>41</v>
      </c>
      <c r="F299">
        <v>139.38999999999999</v>
      </c>
      <c r="G299" s="25" t="str" cm="1">
        <f t="array" ref="G299">IF(
  ISNUMBER(DATEVALUE(A299)),
  TEXT(DATEVALUE(A299),"yyyy-mm-dd"),
  IFERROR(
    TEXT(INDEX($A$2:$A$301,MATCH(1,
      ($B$2:$B$301=B299) * ($C$2:$C$301=C299) * ($D$2:$D$301=D299) * ($E$2:$E$301=E299) *
      ($F$2:$F$301=F299),0)),"yyyy-mm-dd"),
    "Perlu Klarifikasi"
  )
)</f>
        <v>2024-03-30</v>
      </c>
    </row>
    <row r="300" spans="1:7" x14ac:dyDescent="0.3">
      <c r="A300" s="25" t="s">
        <v>63</v>
      </c>
      <c r="B300" t="s">
        <v>113</v>
      </c>
      <c r="C300">
        <v>4.57</v>
      </c>
      <c r="D300">
        <v>10.56</v>
      </c>
      <c r="E300">
        <v>41</v>
      </c>
      <c r="F300">
        <v>139.38999999999999</v>
      </c>
      <c r="G300" s="25" t="str" cm="1">
        <f t="array" ref="G300">IF(
  ISNUMBER(DATEVALUE(A300)),
  TEXT(DATEVALUE(A300),"yyyy-mm-dd"),
  IFERROR(
    TEXT(INDEX($A$2:$A$301,MATCH(1,
      ($B$2:$B$301=B300) * ($C$2:$C$301=C300) * ($D$2:$D$301=D300) * ($E$2:$E$301=E300) *
      ($F$2:$F$301=F300),0)),"yyyy-mm-dd"),
    "Perlu Klarifikasi"
  )
)</f>
        <v>2024-03-30</v>
      </c>
    </row>
    <row r="301" spans="1:7" x14ac:dyDescent="0.3">
      <c r="A301" s="25" t="s">
        <v>75</v>
      </c>
      <c r="B301" t="s">
        <v>111</v>
      </c>
      <c r="C301">
        <v>2.41</v>
      </c>
      <c r="D301">
        <v>9.43</v>
      </c>
      <c r="E301">
        <v>13</v>
      </c>
      <c r="F301">
        <v>35.69</v>
      </c>
      <c r="G301" s="25" t="str" cm="1">
        <f t="array" ref="G301">IF(
  ISNUMBER(DATEVALUE(A301)),
  TEXT(DATEVALUE(A301),"yyyy-mm-dd"),
  IFERROR(
    TEXT(INDEX($A$2:$A$301,MATCH(1,
      ($B$2:$B$301=B301) * ($C$2:$C$301=C301) * ($D$2:$D$301=D301) * ($E$2:$E$301=E301) *
      ($F$2:$F$301=F301),0)),"yyyy-mm-dd"),
    "Perlu Klarifikasi"
  )
)</f>
        <v>2024-03-31</v>
      </c>
    </row>
  </sheetData>
  <autoFilter ref="A1:G301" xr:uid="{00000000-0001-0000-0300-000000000000}">
    <sortState xmlns:xlrd2="http://schemas.microsoft.com/office/spreadsheetml/2017/richdata2" ref="A2:G301">
      <sortCondition ref="G2:G301"/>
    </sortState>
  </autoFilter>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7A437-61A6-44B9-912E-335EC9FA94BF}">
  <sheetPr codeName="Sheet8">
    <tabColor rgb="FF92D050"/>
  </sheetPr>
  <dimension ref="A1:T150"/>
  <sheetViews>
    <sheetView zoomScale="90" zoomScaleNormal="100" workbookViewId="0">
      <selection activeCell="J20" sqref="J20"/>
    </sheetView>
  </sheetViews>
  <sheetFormatPr defaultRowHeight="14.4" x14ac:dyDescent="0.3"/>
  <cols>
    <col min="1" max="1" width="10.6640625" bestFit="1" customWidth="1"/>
    <col min="2" max="2" width="12" bestFit="1" customWidth="1"/>
    <col min="3" max="3" width="12.33203125" bestFit="1" customWidth="1"/>
    <col min="4" max="4" width="15.6640625" bestFit="1" customWidth="1"/>
    <col min="5" max="5" width="6.44140625" bestFit="1" customWidth="1"/>
    <col min="6" max="6" width="13.33203125" bestFit="1" customWidth="1"/>
    <col min="7" max="7" width="22.88671875" bestFit="1" customWidth="1"/>
    <col min="9" max="9" width="18.77734375" bestFit="1" customWidth="1"/>
    <col min="10" max="10" width="14.6640625" bestFit="1" customWidth="1"/>
    <col min="12" max="12" width="25.5546875" bestFit="1" customWidth="1"/>
    <col min="13" max="13" width="16.109375" bestFit="1" customWidth="1"/>
    <col min="14" max="17" width="6.109375" bestFit="1" customWidth="1"/>
    <col min="18" max="18" width="11.21875" bestFit="1" customWidth="1"/>
  </cols>
  <sheetData>
    <row r="1" spans="1:20" x14ac:dyDescent="0.3">
      <c r="A1" s="2" t="s">
        <v>9</v>
      </c>
      <c r="B1" s="2" t="s">
        <v>103</v>
      </c>
      <c r="C1" s="2" t="s">
        <v>104</v>
      </c>
      <c r="D1" s="2" t="s">
        <v>105</v>
      </c>
      <c r="E1" s="2" t="s">
        <v>106</v>
      </c>
      <c r="F1" s="2" t="s">
        <v>107</v>
      </c>
      <c r="G1" s="2" t="s">
        <v>187</v>
      </c>
      <c r="H1" s="2" t="s">
        <v>213</v>
      </c>
      <c r="I1" s="2" t="s">
        <v>215</v>
      </c>
    </row>
    <row r="2" spans="1:20" x14ac:dyDescent="0.3">
      <c r="A2" s="25" t="s">
        <v>92</v>
      </c>
      <c r="B2" t="s">
        <v>115</v>
      </c>
      <c r="C2" s="30">
        <v>3.85</v>
      </c>
      <c r="D2" s="30">
        <v>8.6300000000000008</v>
      </c>
      <c r="E2" s="29">
        <v>27</v>
      </c>
      <c r="F2" s="30">
        <v>85.69</v>
      </c>
      <c r="G2" s="25" t="s">
        <v>92</v>
      </c>
      <c r="H2" s="30">
        <f t="shared" ref="H2:H33" si="0">F2/E2</f>
        <v>3.1737037037037035</v>
      </c>
      <c r="I2" t="str">
        <f t="shared" ref="I2:I33" si="1">IF(D2&gt;10,"Abnormal","Normal")</f>
        <v>Normal</v>
      </c>
    </row>
    <row r="3" spans="1:20" x14ac:dyDescent="0.3">
      <c r="A3" s="25" t="s">
        <v>36</v>
      </c>
      <c r="B3" t="s">
        <v>115</v>
      </c>
      <c r="C3" s="30">
        <v>3.86</v>
      </c>
      <c r="D3" s="30">
        <v>9.33</v>
      </c>
      <c r="E3" s="29">
        <v>43</v>
      </c>
      <c r="F3" s="30">
        <v>135.66999999999999</v>
      </c>
      <c r="G3" s="25" t="s">
        <v>36</v>
      </c>
      <c r="H3" s="30">
        <f t="shared" si="0"/>
        <v>3.1551162790697673</v>
      </c>
      <c r="I3" t="str">
        <f t="shared" si="1"/>
        <v>Normal</v>
      </c>
    </row>
    <row r="4" spans="1:20" x14ac:dyDescent="0.3">
      <c r="A4" s="25" t="s">
        <v>36</v>
      </c>
      <c r="B4" t="s">
        <v>108</v>
      </c>
      <c r="C4" s="30">
        <v>6.1</v>
      </c>
      <c r="D4" s="30">
        <v>11.43</v>
      </c>
      <c r="E4" s="29">
        <v>20</v>
      </c>
      <c r="F4" s="30">
        <v>50.09</v>
      </c>
      <c r="G4" s="25" t="s">
        <v>36</v>
      </c>
      <c r="H4" s="30">
        <f t="shared" si="0"/>
        <v>2.5045000000000002</v>
      </c>
      <c r="I4" t="str">
        <f t="shared" si="1"/>
        <v>Abnormal</v>
      </c>
    </row>
    <row r="5" spans="1:20" x14ac:dyDescent="0.3">
      <c r="A5" s="25" t="s">
        <v>54</v>
      </c>
      <c r="B5" t="s">
        <v>111</v>
      </c>
      <c r="C5" s="30">
        <v>4.9400000000000004</v>
      </c>
      <c r="D5" s="30">
        <v>8.73</v>
      </c>
      <c r="E5" s="29">
        <v>42</v>
      </c>
      <c r="F5" s="30">
        <v>118.19</v>
      </c>
      <c r="G5" s="25" t="s">
        <v>54</v>
      </c>
      <c r="H5" s="30">
        <f t="shared" si="0"/>
        <v>2.8140476190476189</v>
      </c>
      <c r="I5" t="str">
        <f t="shared" si="1"/>
        <v>Normal</v>
      </c>
    </row>
    <row r="6" spans="1:20" x14ac:dyDescent="0.3">
      <c r="A6" s="25" t="s">
        <v>54</v>
      </c>
      <c r="B6" t="s">
        <v>109</v>
      </c>
      <c r="C6" s="30">
        <v>4.08</v>
      </c>
      <c r="D6" s="30">
        <v>5.88</v>
      </c>
      <c r="E6" s="29">
        <v>32</v>
      </c>
      <c r="F6" s="30">
        <v>103.67</v>
      </c>
      <c r="G6" s="25" t="s">
        <v>54</v>
      </c>
      <c r="H6" s="30">
        <f t="shared" si="0"/>
        <v>3.2396875000000001</v>
      </c>
      <c r="I6" t="str">
        <f t="shared" si="1"/>
        <v>Normal</v>
      </c>
    </row>
    <row r="7" spans="1:20" x14ac:dyDescent="0.3">
      <c r="A7" s="25" t="s">
        <v>24</v>
      </c>
      <c r="B7" t="s">
        <v>109</v>
      </c>
      <c r="C7" s="30">
        <v>3.52</v>
      </c>
      <c r="D7" s="30">
        <v>8.7100000000000009</v>
      </c>
      <c r="E7" s="29">
        <v>20</v>
      </c>
      <c r="F7" s="30">
        <v>66.83</v>
      </c>
      <c r="G7" s="25" t="s">
        <v>24</v>
      </c>
      <c r="H7" s="30">
        <f t="shared" si="0"/>
        <v>3.3414999999999999</v>
      </c>
      <c r="I7" t="str">
        <f t="shared" si="1"/>
        <v>Normal</v>
      </c>
    </row>
    <row r="8" spans="1:20" x14ac:dyDescent="0.3">
      <c r="A8" s="25" t="s">
        <v>24</v>
      </c>
      <c r="B8" t="s">
        <v>111</v>
      </c>
      <c r="C8" s="30">
        <v>5.93</v>
      </c>
      <c r="D8" s="30">
        <v>9.0299999999999994</v>
      </c>
      <c r="E8" s="29">
        <v>16</v>
      </c>
      <c r="F8" s="30">
        <v>32.380000000000003</v>
      </c>
      <c r="G8" s="25" t="s">
        <v>24</v>
      </c>
      <c r="H8" s="30">
        <f t="shared" si="0"/>
        <v>2.0237500000000002</v>
      </c>
      <c r="I8" t="str">
        <f t="shared" si="1"/>
        <v>Normal</v>
      </c>
    </row>
    <row r="9" spans="1:20" x14ac:dyDescent="0.3">
      <c r="A9" s="25" t="s">
        <v>24</v>
      </c>
      <c r="B9" t="s">
        <v>113</v>
      </c>
      <c r="C9" s="30">
        <v>5.1100000000000003</v>
      </c>
      <c r="D9" s="30">
        <v>8.66</v>
      </c>
      <c r="E9" s="29">
        <v>45</v>
      </c>
      <c r="F9" s="30">
        <v>135.11000000000001</v>
      </c>
      <c r="G9" s="25" t="s">
        <v>24</v>
      </c>
      <c r="H9" s="30">
        <f t="shared" si="0"/>
        <v>3.0024444444444449</v>
      </c>
      <c r="I9" t="str">
        <f t="shared" si="1"/>
        <v>Normal</v>
      </c>
    </row>
    <row r="10" spans="1:20" x14ac:dyDescent="0.3">
      <c r="A10" s="25" t="s">
        <v>24</v>
      </c>
      <c r="B10" t="s">
        <v>111</v>
      </c>
      <c r="C10" s="30">
        <v>3.34</v>
      </c>
      <c r="D10" s="30">
        <v>13.06</v>
      </c>
      <c r="E10" s="29">
        <v>27</v>
      </c>
      <c r="F10" s="30">
        <v>69.2</v>
      </c>
      <c r="G10" s="25" t="s">
        <v>24</v>
      </c>
      <c r="H10" s="30">
        <f t="shared" si="0"/>
        <v>2.5629629629629629</v>
      </c>
      <c r="I10" t="str">
        <f t="shared" si="1"/>
        <v>Abnormal</v>
      </c>
    </row>
    <row r="11" spans="1:20" x14ac:dyDescent="0.3">
      <c r="A11" s="25" t="s">
        <v>24</v>
      </c>
      <c r="B11" t="s">
        <v>111</v>
      </c>
      <c r="C11" s="30">
        <v>7.98</v>
      </c>
      <c r="D11" s="30">
        <v>9.5299999999999994</v>
      </c>
      <c r="E11" s="29">
        <v>32</v>
      </c>
      <c r="F11" s="30">
        <v>73.959999999999994</v>
      </c>
      <c r="G11" s="25" t="s">
        <v>24</v>
      </c>
      <c r="H11" s="30">
        <f t="shared" si="0"/>
        <v>2.3112499999999998</v>
      </c>
      <c r="I11" t="str">
        <f t="shared" si="1"/>
        <v>Normal</v>
      </c>
      <c r="T11" s="30"/>
    </row>
    <row r="12" spans="1:20" x14ac:dyDescent="0.3">
      <c r="A12" s="25" t="s">
        <v>24</v>
      </c>
      <c r="B12" t="s">
        <v>109</v>
      </c>
      <c r="C12" s="30">
        <v>2.04</v>
      </c>
      <c r="D12" s="30">
        <v>14.75</v>
      </c>
      <c r="E12" s="29">
        <v>19</v>
      </c>
      <c r="F12" s="30">
        <v>53.08</v>
      </c>
      <c r="G12" s="25" t="s">
        <v>24</v>
      </c>
      <c r="H12" s="30">
        <f t="shared" si="0"/>
        <v>2.7936842105263158</v>
      </c>
      <c r="I12" t="str">
        <f t="shared" si="1"/>
        <v>Abnormal</v>
      </c>
    </row>
    <row r="13" spans="1:20" x14ac:dyDescent="0.3">
      <c r="A13" s="25" t="s">
        <v>114</v>
      </c>
      <c r="B13" t="s">
        <v>115</v>
      </c>
      <c r="C13" s="30">
        <v>6.12</v>
      </c>
      <c r="D13" s="30">
        <v>11.28</v>
      </c>
      <c r="E13" s="29">
        <v>32</v>
      </c>
      <c r="F13" s="30">
        <v>67.489999999999995</v>
      </c>
      <c r="G13" s="25" t="s">
        <v>114</v>
      </c>
      <c r="H13" s="30">
        <f t="shared" si="0"/>
        <v>2.1090624999999998</v>
      </c>
      <c r="I13" t="str">
        <f t="shared" si="1"/>
        <v>Abnormal</v>
      </c>
    </row>
    <row r="14" spans="1:20" x14ac:dyDescent="0.3">
      <c r="A14" s="25" t="s">
        <v>114</v>
      </c>
      <c r="B14" t="s">
        <v>115</v>
      </c>
      <c r="C14" s="30">
        <v>3.11</v>
      </c>
      <c r="D14" s="30">
        <v>14.21</v>
      </c>
      <c r="E14" s="29">
        <v>13</v>
      </c>
      <c r="F14" s="30">
        <v>23.78</v>
      </c>
      <c r="G14" s="25" t="s">
        <v>114</v>
      </c>
      <c r="H14" s="30">
        <f t="shared" si="0"/>
        <v>1.8292307692307692</v>
      </c>
      <c r="I14" t="str">
        <f t="shared" si="1"/>
        <v>Abnormal</v>
      </c>
    </row>
    <row r="15" spans="1:20" x14ac:dyDescent="0.3">
      <c r="A15" s="25" t="s">
        <v>114</v>
      </c>
      <c r="B15" t="s">
        <v>113</v>
      </c>
      <c r="C15" s="30">
        <v>2.35</v>
      </c>
      <c r="D15" s="30">
        <v>9.9700000000000006</v>
      </c>
      <c r="E15" s="29">
        <v>25</v>
      </c>
      <c r="F15" s="30">
        <v>74.459999999999994</v>
      </c>
      <c r="G15" s="25" t="s">
        <v>114</v>
      </c>
      <c r="H15" s="30">
        <f t="shared" si="0"/>
        <v>2.9783999999999997</v>
      </c>
      <c r="I15" t="str">
        <f t="shared" si="1"/>
        <v>Normal</v>
      </c>
    </row>
    <row r="16" spans="1:20" x14ac:dyDescent="0.3">
      <c r="A16" s="25" t="s">
        <v>114</v>
      </c>
      <c r="B16" t="s">
        <v>108</v>
      </c>
      <c r="C16" s="30">
        <v>2.29</v>
      </c>
      <c r="D16" s="30">
        <v>7.23</v>
      </c>
      <c r="E16" s="29">
        <v>41</v>
      </c>
      <c r="F16" s="30">
        <v>83.81</v>
      </c>
      <c r="G16" s="25" t="s">
        <v>114</v>
      </c>
      <c r="H16" s="30">
        <f t="shared" si="0"/>
        <v>2.0441463414634149</v>
      </c>
      <c r="I16" t="str">
        <f t="shared" si="1"/>
        <v>Normal</v>
      </c>
    </row>
    <row r="17" spans="1:9" x14ac:dyDescent="0.3">
      <c r="A17" s="25" t="s">
        <v>87</v>
      </c>
      <c r="B17" t="s">
        <v>115</v>
      </c>
      <c r="C17" s="30">
        <v>4.68</v>
      </c>
      <c r="D17" s="30">
        <v>8.76</v>
      </c>
      <c r="E17" s="29">
        <v>25</v>
      </c>
      <c r="F17" s="30">
        <v>59.96</v>
      </c>
      <c r="G17" s="25" t="s">
        <v>87</v>
      </c>
      <c r="H17" s="30">
        <f t="shared" si="0"/>
        <v>2.3984000000000001</v>
      </c>
      <c r="I17" t="str">
        <f t="shared" si="1"/>
        <v>Normal</v>
      </c>
    </row>
    <row r="18" spans="1:9" x14ac:dyDescent="0.3">
      <c r="A18" s="25" t="s">
        <v>87</v>
      </c>
      <c r="B18" t="s">
        <v>113</v>
      </c>
      <c r="C18" s="30">
        <v>5.32</v>
      </c>
      <c r="D18" s="30">
        <v>7.89</v>
      </c>
      <c r="E18" s="29">
        <v>35</v>
      </c>
      <c r="F18" s="30">
        <v>118.77</v>
      </c>
      <c r="G18" s="25" t="s">
        <v>87</v>
      </c>
      <c r="H18" s="30">
        <f t="shared" si="0"/>
        <v>3.3934285714285712</v>
      </c>
      <c r="I18" t="str">
        <f t="shared" si="1"/>
        <v>Normal</v>
      </c>
    </row>
    <row r="19" spans="1:9" x14ac:dyDescent="0.3">
      <c r="A19" s="25" t="s">
        <v>87</v>
      </c>
      <c r="B19" t="s">
        <v>115</v>
      </c>
      <c r="C19" s="30">
        <v>6.61</v>
      </c>
      <c r="D19" s="30">
        <v>12.22</v>
      </c>
      <c r="E19" s="29">
        <v>39</v>
      </c>
      <c r="F19" s="30">
        <v>78.209999999999994</v>
      </c>
      <c r="G19" s="25" t="s">
        <v>87</v>
      </c>
      <c r="H19" s="30">
        <f t="shared" si="0"/>
        <v>2.0053846153846151</v>
      </c>
      <c r="I19" t="str">
        <f t="shared" si="1"/>
        <v>Abnormal</v>
      </c>
    </row>
    <row r="20" spans="1:9" x14ac:dyDescent="0.3">
      <c r="A20" s="25" t="s">
        <v>102</v>
      </c>
      <c r="B20" t="s">
        <v>108</v>
      </c>
      <c r="C20" s="30">
        <v>4.05</v>
      </c>
      <c r="D20" s="30">
        <v>9.0299999999999994</v>
      </c>
      <c r="E20" s="29">
        <v>16</v>
      </c>
      <c r="F20" s="30">
        <v>32.619999999999997</v>
      </c>
      <c r="G20" s="25" t="s">
        <v>102</v>
      </c>
      <c r="H20" s="30">
        <f t="shared" si="0"/>
        <v>2.0387499999999998</v>
      </c>
      <c r="I20" t="str">
        <f t="shared" si="1"/>
        <v>Normal</v>
      </c>
    </row>
    <row r="21" spans="1:9" x14ac:dyDescent="0.3">
      <c r="A21" s="25" t="s">
        <v>59</v>
      </c>
      <c r="B21" t="s">
        <v>108</v>
      </c>
      <c r="C21" s="30">
        <v>6.56</v>
      </c>
      <c r="D21" s="30">
        <v>7.02</v>
      </c>
      <c r="E21" s="29">
        <v>35</v>
      </c>
      <c r="F21" s="30">
        <v>71.319999999999993</v>
      </c>
      <c r="G21" s="25" t="s">
        <v>59</v>
      </c>
      <c r="H21" s="30">
        <f t="shared" si="0"/>
        <v>2.0377142857142854</v>
      </c>
      <c r="I21" t="str">
        <f t="shared" si="1"/>
        <v>Normal</v>
      </c>
    </row>
    <row r="22" spans="1:9" x14ac:dyDescent="0.3">
      <c r="A22" s="25" t="s">
        <v>59</v>
      </c>
      <c r="B22" t="s">
        <v>108</v>
      </c>
      <c r="C22" s="30">
        <v>7.97</v>
      </c>
      <c r="D22" s="30">
        <v>7.7</v>
      </c>
      <c r="E22" s="29">
        <v>18</v>
      </c>
      <c r="F22" s="30">
        <v>56.19</v>
      </c>
      <c r="G22" s="25" t="s">
        <v>59</v>
      </c>
      <c r="H22" s="30">
        <f t="shared" si="0"/>
        <v>3.1216666666666666</v>
      </c>
      <c r="I22" t="str">
        <f t="shared" si="1"/>
        <v>Normal</v>
      </c>
    </row>
    <row r="23" spans="1:9" x14ac:dyDescent="0.3">
      <c r="A23" s="25" t="s">
        <v>59</v>
      </c>
      <c r="B23" t="s">
        <v>109</v>
      </c>
      <c r="C23" s="30">
        <v>4.04</v>
      </c>
      <c r="D23" s="30">
        <v>5.52</v>
      </c>
      <c r="E23" s="29">
        <v>30</v>
      </c>
      <c r="F23" s="30">
        <v>78.599999999999994</v>
      </c>
      <c r="G23" s="25" t="s">
        <v>59</v>
      </c>
      <c r="H23" s="30">
        <f t="shared" si="0"/>
        <v>2.6199999999999997</v>
      </c>
      <c r="I23" t="str">
        <f t="shared" si="1"/>
        <v>Normal</v>
      </c>
    </row>
    <row r="24" spans="1:9" x14ac:dyDescent="0.3">
      <c r="A24" s="25" t="s">
        <v>59</v>
      </c>
      <c r="B24" t="s">
        <v>115</v>
      </c>
      <c r="C24" s="30">
        <v>6.61</v>
      </c>
      <c r="D24" s="30">
        <v>12.47</v>
      </c>
      <c r="E24" s="29">
        <v>41</v>
      </c>
      <c r="F24" s="30">
        <v>137.43</v>
      </c>
      <c r="G24" s="25" t="s">
        <v>59</v>
      </c>
      <c r="H24" s="30">
        <f t="shared" si="0"/>
        <v>3.3519512195121952</v>
      </c>
      <c r="I24" t="str">
        <f t="shared" si="1"/>
        <v>Abnormal</v>
      </c>
    </row>
    <row r="25" spans="1:9" x14ac:dyDescent="0.3">
      <c r="A25" s="25" t="s">
        <v>42</v>
      </c>
      <c r="B25" t="s">
        <v>111</v>
      </c>
      <c r="C25" s="30">
        <v>6.63</v>
      </c>
      <c r="D25" s="30">
        <v>7.09</v>
      </c>
      <c r="E25" s="29">
        <v>18</v>
      </c>
      <c r="F25" s="30">
        <v>55.57</v>
      </c>
      <c r="G25" s="25" t="s">
        <v>42</v>
      </c>
      <c r="H25" s="30">
        <f t="shared" si="0"/>
        <v>3.0872222222222221</v>
      </c>
      <c r="I25" t="str">
        <f t="shared" si="1"/>
        <v>Normal</v>
      </c>
    </row>
    <row r="26" spans="1:9" x14ac:dyDescent="0.3">
      <c r="A26" s="25" t="s">
        <v>70</v>
      </c>
      <c r="B26" t="s">
        <v>111</v>
      </c>
      <c r="C26" s="30">
        <v>2.93</v>
      </c>
      <c r="D26" s="30">
        <v>7.68</v>
      </c>
      <c r="E26" s="29">
        <v>30</v>
      </c>
      <c r="F26" s="30">
        <v>94.86</v>
      </c>
      <c r="G26" s="25" t="s">
        <v>70</v>
      </c>
      <c r="H26" s="30">
        <f t="shared" si="0"/>
        <v>3.1619999999999999</v>
      </c>
      <c r="I26" t="str">
        <f t="shared" si="1"/>
        <v>Normal</v>
      </c>
    </row>
    <row r="27" spans="1:9" x14ac:dyDescent="0.3">
      <c r="A27" s="25" t="s">
        <v>70</v>
      </c>
      <c r="B27" t="s">
        <v>115</v>
      </c>
      <c r="C27" s="30">
        <v>7.15</v>
      </c>
      <c r="D27" s="30">
        <v>12.13</v>
      </c>
      <c r="E27" s="29">
        <v>40</v>
      </c>
      <c r="F27" s="30">
        <v>123.03</v>
      </c>
      <c r="G27" s="25" t="s">
        <v>70</v>
      </c>
      <c r="H27" s="30">
        <f t="shared" si="0"/>
        <v>3.0757500000000002</v>
      </c>
      <c r="I27" t="str">
        <f t="shared" si="1"/>
        <v>Abnormal</v>
      </c>
    </row>
    <row r="28" spans="1:9" x14ac:dyDescent="0.3">
      <c r="A28" s="25" t="s">
        <v>70</v>
      </c>
      <c r="B28" t="s">
        <v>113</v>
      </c>
      <c r="C28" s="30">
        <v>3.84</v>
      </c>
      <c r="D28" s="30">
        <v>11.16</v>
      </c>
      <c r="E28" s="29">
        <v>27</v>
      </c>
      <c r="F28" s="30">
        <v>64.8</v>
      </c>
      <c r="G28" s="25" t="s">
        <v>70</v>
      </c>
      <c r="H28" s="30">
        <f t="shared" si="0"/>
        <v>2.4</v>
      </c>
      <c r="I28" t="str">
        <f t="shared" si="1"/>
        <v>Abnormal</v>
      </c>
    </row>
    <row r="29" spans="1:9" x14ac:dyDescent="0.3">
      <c r="A29" s="25" t="s">
        <v>57</v>
      </c>
      <c r="B29" t="s">
        <v>113</v>
      </c>
      <c r="C29" s="30">
        <v>7.85</v>
      </c>
      <c r="D29" s="30">
        <v>9.75</v>
      </c>
      <c r="E29" s="29">
        <v>36</v>
      </c>
      <c r="F29" s="30">
        <v>81.66</v>
      </c>
      <c r="G29" s="25" t="s">
        <v>57</v>
      </c>
      <c r="H29" s="30">
        <f t="shared" si="0"/>
        <v>2.2683333333333331</v>
      </c>
      <c r="I29" t="str">
        <f t="shared" si="1"/>
        <v>Normal</v>
      </c>
    </row>
    <row r="30" spans="1:9" x14ac:dyDescent="0.3">
      <c r="A30" s="25" t="s">
        <v>57</v>
      </c>
      <c r="B30" t="s">
        <v>113</v>
      </c>
      <c r="C30" s="30">
        <v>5.0199999999999996</v>
      </c>
      <c r="D30" s="30">
        <v>6.06</v>
      </c>
      <c r="E30" s="29">
        <v>43</v>
      </c>
      <c r="F30" s="30">
        <v>119.57</v>
      </c>
      <c r="G30" s="25" t="s">
        <v>57</v>
      </c>
      <c r="H30" s="30">
        <f t="shared" si="0"/>
        <v>2.7806976744186045</v>
      </c>
      <c r="I30" t="str">
        <f t="shared" si="1"/>
        <v>Normal</v>
      </c>
    </row>
    <row r="31" spans="1:9" x14ac:dyDescent="0.3">
      <c r="A31" s="25" t="s">
        <v>57</v>
      </c>
      <c r="B31" t="s">
        <v>111</v>
      </c>
      <c r="C31" s="30">
        <v>4.3600000000000003</v>
      </c>
      <c r="D31" s="30">
        <v>11.31</v>
      </c>
      <c r="E31" s="29">
        <v>29</v>
      </c>
      <c r="F31" s="30">
        <v>56.56</v>
      </c>
      <c r="G31" s="25" t="s">
        <v>57</v>
      </c>
      <c r="H31" s="30">
        <f t="shared" si="0"/>
        <v>1.950344827586207</v>
      </c>
      <c r="I31" t="str">
        <f t="shared" si="1"/>
        <v>Abnormal</v>
      </c>
    </row>
    <row r="32" spans="1:9" x14ac:dyDescent="0.3">
      <c r="A32" s="25" t="s">
        <v>80</v>
      </c>
      <c r="B32" t="s">
        <v>113</v>
      </c>
      <c r="C32" s="30">
        <v>2.96</v>
      </c>
      <c r="D32" s="30">
        <v>6.6</v>
      </c>
      <c r="E32" s="29">
        <v>30</v>
      </c>
      <c r="F32" s="30">
        <v>73.319999999999993</v>
      </c>
      <c r="G32" s="25" t="s">
        <v>80</v>
      </c>
      <c r="H32" s="30">
        <f t="shared" si="0"/>
        <v>2.444</v>
      </c>
      <c r="I32" t="str">
        <f t="shared" si="1"/>
        <v>Normal</v>
      </c>
    </row>
    <row r="33" spans="1:9" x14ac:dyDescent="0.3">
      <c r="A33" s="25" t="s">
        <v>95</v>
      </c>
      <c r="B33" t="s">
        <v>109</v>
      </c>
      <c r="C33" s="30">
        <v>5.33</v>
      </c>
      <c r="D33" s="30">
        <v>7.31</v>
      </c>
      <c r="E33" s="29">
        <v>8</v>
      </c>
      <c r="F33" s="30">
        <v>15.8</v>
      </c>
      <c r="G33" s="25" t="s">
        <v>95</v>
      </c>
      <c r="H33" s="30">
        <f t="shared" si="0"/>
        <v>1.9750000000000001</v>
      </c>
      <c r="I33" t="str">
        <f t="shared" si="1"/>
        <v>Normal</v>
      </c>
    </row>
    <row r="34" spans="1:9" x14ac:dyDescent="0.3">
      <c r="A34" s="25" t="s">
        <v>95</v>
      </c>
      <c r="B34" t="s">
        <v>113</v>
      </c>
      <c r="C34" s="30">
        <v>4.38</v>
      </c>
      <c r="D34" s="30">
        <v>11.49</v>
      </c>
      <c r="E34" s="29">
        <v>27</v>
      </c>
      <c r="F34" s="30">
        <v>79.290000000000006</v>
      </c>
      <c r="G34" s="25" t="s">
        <v>95</v>
      </c>
      <c r="H34" s="30">
        <f t="shared" ref="H34:H65" si="2">F34/E34</f>
        <v>2.936666666666667</v>
      </c>
      <c r="I34" t="str">
        <f t="shared" ref="I34:I65" si="3">IF(D34&gt;10,"Abnormal","Normal")</f>
        <v>Abnormal</v>
      </c>
    </row>
    <row r="35" spans="1:9" x14ac:dyDescent="0.3">
      <c r="A35" s="25" t="s">
        <v>119</v>
      </c>
      <c r="B35" t="s">
        <v>113</v>
      </c>
      <c r="C35" s="30">
        <v>3.38</v>
      </c>
      <c r="D35" s="30">
        <v>8.4700000000000006</v>
      </c>
      <c r="E35" s="29">
        <v>17</v>
      </c>
      <c r="F35" s="30">
        <v>44.31</v>
      </c>
      <c r="G35" s="25" t="s">
        <v>119</v>
      </c>
      <c r="H35" s="30">
        <f t="shared" si="2"/>
        <v>2.6064705882352941</v>
      </c>
      <c r="I35" t="str">
        <f t="shared" si="3"/>
        <v>Normal</v>
      </c>
    </row>
    <row r="36" spans="1:9" x14ac:dyDescent="0.3">
      <c r="A36" s="25" t="s">
        <v>119</v>
      </c>
      <c r="B36" t="s">
        <v>115</v>
      </c>
      <c r="C36" s="30">
        <v>5.24</v>
      </c>
      <c r="D36" s="30">
        <v>9.4600000000000009</v>
      </c>
      <c r="E36" s="29">
        <v>18</v>
      </c>
      <c r="F36" s="30">
        <v>51.6</v>
      </c>
      <c r="G36" s="25" t="s">
        <v>119</v>
      </c>
      <c r="H36" s="30">
        <f t="shared" si="2"/>
        <v>2.8666666666666667</v>
      </c>
      <c r="I36" t="str">
        <f t="shared" si="3"/>
        <v>Normal</v>
      </c>
    </row>
    <row r="37" spans="1:9" x14ac:dyDescent="0.3">
      <c r="A37" s="25" t="s">
        <v>126</v>
      </c>
      <c r="B37" t="s">
        <v>109</v>
      </c>
      <c r="C37" s="30">
        <v>5.94</v>
      </c>
      <c r="D37" s="30">
        <v>8.99</v>
      </c>
      <c r="E37" s="29">
        <v>9</v>
      </c>
      <c r="F37" s="30">
        <v>21.06</v>
      </c>
      <c r="G37" s="25" t="s">
        <v>126</v>
      </c>
      <c r="H37" s="30">
        <f t="shared" si="2"/>
        <v>2.34</v>
      </c>
      <c r="I37" t="str">
        <f t="shared" si="3"/>
        <v>Normal</v>
      </c>
    </row>
    <row r="38" spans="1:9" x14ac:dyDescent="0.3">
      <c r="A38" s="25" t="s">
        <v>126</v>
      </c>
      <c r="B38" t="s">
        <v>108</v>
      </c>
      <c r="C38" s="30">
        <v>6.05</v>
      </c>
      <c r="D38" s="30">
        <v>7.19</v>
      </c>
      <c r="E38" s="29">
        <v>19</v>
      </c>
      <c r="F38" s="30">
        <v>58.83</v>
      </c>
      <c r="G38" s="25" t="s">
        <v>126</v>
      </c>
      <c r="H38" s="30">
        <f t="shared" si="2"/>
        <v>3.0963157894736839</v>
      </c>
      <c r="I38" t="str">
        <f t="shared" si="3"/>
        <v>Normal</v>
      </c>
    </row>
    <row r="39" spans="1:9" x14ac:dyDescent="0.3">
      <c r="A39" s="25" t="s">
        <v>40</v>
      </c>
      <c r="B39" t="s">
        <v>115</v>
      </c>
      <c r="C39" s="30">
        <v>7.97</v>
      </c>
      <c r="D39" s="30">
        <v>7.52</v>
      </c>
      <c r="E39" s="29">
        <v>23</v>
      </c>
      <c r="F39" s="30">
        <v>54.97</v>
      </c>
      <c r="G39" s="25" t="s">
        <v>40</v>
      </c>
      <c r="H39" s="30">
        <f t="shared" si="2"/>
        <v>2.39</v>
      </c>
      <c r="I39" t="str">
        <f t="shared" si="3"/>
        <v>Normal</v>
      </c>
    </row>
    <row r="40" spans="1:9" x14ac:dyDescent="0.3">
      <c r="A40" s="25" t="s">
        <v>40</v>
      </c>
      <c r="B40" t="s">
        <v>111</v>
      </c>
      <c r="C40" s="30">
        <v>2.09</v>
      </c>
      <c r="D40" s="30">
        <v>10.220000000000001</v>
      </c>
      <c r="E40" s="29">
        <v>40</v>
      </c>
      <c r="F40" s="30">
        <v>118.19</v>
      </c>
      <c r="G40" s="25" t="s">
        <v>40</v>
      </c>
      <c r="H40" s="30">
        <f t="shared" si="2"/>
        <v>2.9547499999999998</v>
      </c>
      <c r="I40" t="str">
        <f t="shared" si="3"/>
        <v>Abnormal</v>
      </c>
    </row>
    <row r="41" spans="1:9" x14ac:dyDescent="0.3">
      <c r="A41" s="25" t="s">
        <v>72</v>
      </c>
      <c r="B41" t="s">
        <v>115</v>
      </c>
      <c r="C41" s="30">
        <v>4.4800000000000004</v>
      </c>
      <c r="D41" s="30">
        <v>10.119999999999999</v>
      </c>
      <c r="E41" s="29">
        <v>37</v>
      </c>
      <c r="F41" s="30">
        <v>94.68</v>
      </c>
      <c r="G41" s="25" t="s">
        <v>72</v>
      </c>
      <c r="H41" s="30">
        <f t="shared" si="2"/>
        <v>2.558918918918919</v>
      </c>
      <c r="I41" t="str">
        <f t="shared" si="3"/>
        <v>Abnormal</v>
      </c>
    </row>
    <row r="42" spans="1:9" x14ac:dyDescent="0.3">
      <c r="A42" s="25" t="s">
        <v>72</v>
      </c>
      <c r="B42" t="s">
        <v>111</v>
      </c>
      <c r="C42" s="30">
        <v>4.8899999999999997</v>
      </c>
      <c r="D42" s="30">
        <v>14.96</v>
      </c>
      <c r="E42" s="29">
        <v>41</v>
      </c>
      <c r="F42" s="30">
        <v>137.61000000000001</v>
      </c>
      <c r="G42" s="25" t="s">
        <v>72</v>
      </c>
      <c r="H42" s="30">
        <f t="shared" si="2"/>
        <v>3.3563414634146347</v>
      </c>
      <c r="I42" t="str">
        <f t="shared" si="3"/>
        <v>Abnormal</v>
      </c>
    </row>
    <row r="43" spans="1:9" x14ac:dyDescent="0.3">
      <c r="A43" s="25" t="s">
        <v>72</v>
      </c>
      <c r="B43" s="22" t="s">
        <v>111</v>
      </c>
      <c r="C43" s="30">
        <v>7.65</v>
      </c>
      <c r="D43" s="30">
        <v>5.46</v>
      </c>
      <c r="E43" s="29">
        <v>45</v>
      </c>
      <c r="F43" s="30">
        <v>83.1</v>
      </c>
      <c r="G43" s="25" t="s">
        <v>72</v>
      </c>
      <c r="H43" s="30">
        <f t="shared" si="2"/>
        <v>1.8466666666666665</v>
      </c>
      <c r="I43" t="str">
        <f t="shared" si="3"/>
        <v>Normal</v>
      </c>
    </row>
    <row r="44" spans="1:9" x14ac:dyDescent="0.3">
      <c r="A44" s="25" t="s">
        <v>72</v>
      </c>
      <c r="B44" t="s">
        <v>111</v>
      </c>
      <c r="C44" s="30">
        <v>5.66</v>
      </c>
      <c r="D44" s="30">
        <v>5.0599999999999996</v>
      </c>
      <c r="E44" s="29">
        <v>26</v>
      </c>
      <c r="F44" s="30">
        <v>66.459999999999994</v>
      </c>
      <c r="G44" s="25" t="s">
        <v>72</v>
      </c>
      <c r="H44" s="30">
        <f t="shared" si="2"/>
        <v>2.5561538461538458</v>
      </c>
      <c r="I44" t="str">
        <f t="shared" si="3"/>
        <v>Normal</v>
      </c>
    </row>
    <row r="45" spans="1:9" x14ac:dyDescent="0.3">
      <c r="A45" s="26" t="s">
        <v>52</v>
      </c>
      <c r="B45" s="22" t="s">
        <v>115</v>
      </c>
      <c r="C45" s="28">
        <v>4.9400000000000004</v>
      </c>
      <c r="D45" s="28">
        <v>9.0299999999999994</v>
      </c>
      <c r="E45" s="27">
        <v>21</v>
      </c>
      <c r="F45" s="28">
        <v>47.13</v>
      </c>
      <c r="G45" s="25" t="s">
        <v>72</v>
      </c>
      <c r="H45" s="30">
        <f t="shared" si="2"/>
        <v>2.2442857142857142</v>
      </c>
      <c r="I45" t="str">
        <f t="shared" si="3"/>
        <v>Normal</v>
      </c>
    </row>
    <row r="46" spans="1:9" x14ac:dyDescent="0.3">
      <c r="A46" s="25" t="s">
        <v>84</v>
      </c>
      <c r="B46" t="s">
        <v>108</v>
      </c>
      <c r="C46" s="30">
        <v>6.41</v>
      </c>
      <c r="D46" s="30">
        <v>6.49</v>
      </c>
      <c r="E46" s="29">
        <v>31</v>
      </c>
      <c r="F46" s="30">
        <v>61.35</v>
      </c>
      <c r="G46" s="25" t="s">
        <v>84</v>
      </c>
      <c r="H46" s="30">
        <f t="shared" si="2"/>
        <v>1.9790322580645161</v>
      </c>
      <c r="I46" t="str">
        <f t="shared" si="3"/>
        <v>Normal</v>
      </c>
    </row>
    <row r="47" spans="1:9" x14ac:dyDescent="0.3">
      <c r="A47" s="25" t="s">
        <v>49</v>
      </c>
      <c r="B47" t="s">
        <v>109</v>
      </c>
      <c r="C47" s="30">
        <v>6.9</v>
      </c>
      <c r="D47" s="30">
        <v>14.54</v>
      </c>
      <c r="E47" s="29">
        <v>34</v>
      </c>
      <c r="F47" s="30">
        <v>80.61</v>
      </c>
      <c r="G47" s="25" t="s">
        <v>49</v>
      </c>
      <c r="H47" s="30">
        <f t="shared" si="2"/>
        <v>2.3708823529411767</v>
      </c>
      <c r="I47" t="str">
        <f t="shared" si="3"/>
        <v>Abnormal</v>
      </c>
    </row>
    <row r="48" spans="1:9" x14ac:dyDescent="0.3">
      <c r="A48" s="25" t="s">
        <v>49</v>
      </c>
      <c r="B48" t="s">
        <v>108</v>
      </c>
      <c r="C48" s="30">
        <v>7.45</v>
      </c>
      <c r="D48" s="30">
        <v>13.52</v>
      </c>
      <c r="E48" s="29">
        <v>15</v>
      </c>
      <c r="F48" s="30">
        <v>27.7</v>
      </c>
      <c r="G48" s="25" t="s">
        <v>49</v>
      </c>
      <c r="H48" s="30">
        <f t="shared" si="2"/>
        <v>1.8466666666666667</v>
      </c>
      <c r="I48" t="str">
        <f t="shared" si="3"/>
        <v>Abnormal</v>
      </c>
    </row>
    <row r="49" spans="1:9" x14ac:dyDescent="0.3">
      <c r="A49" s="25" t="s">
        <v>86</v>
      </c>
      <c r="B49" t="s">
        <v>113</v>
      </c>
      <c r="C49" s="30">
        <v>7.57</v>
      </c>
      <c r="D49" s="30">
        <v>7.78</v>
      </c>
      <c r="E49" s="29">
        <v>41</v>
      </c>
      <c r="F49" s="30">
        <v>123.39</v>
      </c>
      <c r="G49" s="25" t="s">
        <v>86</v>
      </c>
      <c r="H49" s="30">
        <f t="shared" si="2"/>
        <v>3.0095121951219515</v>
      </c>
      <c r="I49" t="str">
        <f t="shared" si="3"/>
        <v>Normal</v>
      </c>
    </row>
    <row r="50" spans="1:9" x14ac:dyDescent="0.3">
      <c r="A50" s="25" t="s">
        <v>58</v>
      </c>
      <c r="B50" t="s">
        <v>108</v>
      </c>
      <c r="C50" s="30">
        <v>3.5</v>
      </c>
      <c r="D50" s="30">
        <v>6.05</v>
      </c>
      <c r="E50" s="29">
        <v>38</v>
      </c>
      <c r="F50" s="30">
        <v>113.4</v>
      </c>
      <c r="G50" s="25" t="s">
        <v>58</v>
      </c>
      <c r="H50" s="30">
        <f t="shared" si="2"/>
        <v>2.9842105263157896</v>
      </c>
      <c r="I50" t="str">
        <f t="shared" si="3"/>
        <v>Normal</v>
      </c>
    </row>
    <row r="51" spans="1:9" x14ac:dyDescent="0.3">
      <c r="A51" s="25" t="s">
        <v>58</v>
      </c>
      <c r="B51" t="s">
        <v>108</v>
      </c>
      <c r="C51" s="30">
        <v>3.46</v>
      </c>
      <c r="D51" s="30">
        <v>6.32</v>
      </c>
      <c r="E51" s="29">
        <v>25</v>
      </c>
      <c r="F51" s="30">
        <v>81.87</v>
      </c>
      <c r="G51" s="25" t="s">
        <v>58</v>
      </c>
      <c r="H51" s="30">
        <f t="shared" si="2"/>
        <v>3.2748000000000004</v>
      </c>
      <c r="I51" t="str">
        <f t="shared" si="3"/>
        <v>Normal</v>
      </c>
    </row>
    <row r="52" spans="1:9" x14ac:dyDescent="0.3">
      <c r="A52" s="25" t="s">
        <v>120</v>
      </c>
      <c r="B52" t="s">
        <v>111</v>
      </c>
      <c r="C52" s="30">
        <v>7.66</v>
      </c>
      <c r="D52" s="30">
        <v>14.47</v>
      </c>
      <c r="E52" s="29">
        <v>39</v>
      </c>
      <c r="F52" s="30">
        <v>93.07</v>
      </c>
      <c r="G52" s="25" t="s">
        <v>120</v>
      </c>
      <c r="H52" s="30">
        <f t="shared" si="2"/>
        <v>2.3864102564102563</v>
      </c>
      <c r="I52" t="str">
        <f t="shared" si="3"/>
        <v>Abnormal</v>
      </c>
    </row>
    <row r="53" spans="1:9" x14ac:dyDescent="0.3">
      <c r="A53" s="25" t="s">
        <v>120</v>
      </c>
      <c r="B53" t="s">
        <v>108</v>
      </c>
      <c r="C53" s="30">
        <v>7.82</v>
      </c>
      <c r="D53" s="30">
        <v>6.35</v>
      </c>
      <c r="E53" s="29">
        <v>37</v>
      </c>
      <c r="F53" s="30">
        <v>89.95</v>
      </c>
      <c r="G53" s="25" t="s">
        <v>120</v>
      </c>
      <c r="H53" s="30">
        <f t="shared" si="2"/>
        <v>2.4310810810810812</v>
      </c>
      <c r="I53" t="str">
        <f t="shared" si="3"/>
        <v>Normal</v>
      </c>
    </row>
    <row r="54" spans="1:9" x14ac:dyDescent="0.3">
      <c r="A54" s="25" t="s">
        <v>112</v>
      </c>
      <c r="B54" t="s">
        <v>113</v>
      </c>
      <c r="C54" s="30">
        <v>5.51</v>
      </c>
      <c r="D54" s="30">
        <v>14.68</v>
      </c>
      <c r="E54" s="29">
        <v>31</v>
      </c>
      <c r="F54" s="30">
        <v>90.78</v>
      </c>
      <c r="G54" s="25" t="s">
        <v>112</v>
      </c>
      <c r="H54" s="30">
        <f t="shared" si="2"/>
        <v>2.9283870967741934</v>
      </c>
      <c r="I54" t="str">
        <f t="shared" si="3"/>
        <v>Abnormal</v>
      </c>
    </row>
    <row r="55" spans="1:9" x14ac:dyDescent="0.3">
      <c r="A55" s="25" t="s">
        <v>41</v>
      </c>
      <c r="B55" t="s">
        <v>115</v>
      </c>
      <c r="C55" s="30">
        <v>5.49</v>
      </c>
      <c r="D55" s="30">
        <v>14.12</v>
      </c>
      <c r="E55" s="29">
        <v>9</v>
      </c>
      <c r="F55" s="30">
        <v>22.64</v>
      </c>
      <c r="G55" s="25" t="s">
        <v>41</v>
      </c>
      <c r="H55" s="30">
        <f t="shared" si="2"/>
        <v>2.5155555555555558</v>
      </c>
      <c r="I55" t="str">
        <f t="shared" si="3"/>
        <v>Abnormal</v>
      </c>
    </row>
    <row r="56" spans="1:9" x14ac:dyDescent="0.3">
      <c r="A56" s="26" t="s">
        <v>52</v>
      </c>
      <c r="B56" s="22" t="s">
        <v>113</v>
      </c>
      <c r="C56" s="28">
        <v>4.8899999999999997</v>
      </c>
      <c r="D56" s="28">
        <v>14.4</v>
      </c>
      <c r="E56" s="27">
        <v>17</v>
      </c>
      <c r="F56" s="28">
        <v>47.53</v>
      </c>
      <c r="G56" s="25" t="s">
        <v>41</v>
      </c>
      <c r="H56" s="30">
        <f t="shared" si="2"/>
        <v>2.7958823529411765</v>
      </c>
      <c r="I56" t="str">
        <f t="shared" si="3"/>
        <v>Abnormal</v>
      </c>
    </row>
    <row r="57" spans="1:9" x14ac:dyDescent="0.3">
      <c r="A57" s="25" t="s">
        <v>45</v>
      </c>
      <c r="B57" t="s">
        <v>113</v>
      </c>
      <c r="C57" s="30">
        <v>7.43</v>
      </c>
      <c r="D57" s="30">
        <v>11.04</v>
      </c>
      <c r="E57" s="29">
        <v>30</v>
      </c>
      <c r="F57" s="30">
        <v>68.599999999999994</v>
      </c>
      <c r="G57" s="25" t="s">
        <v>45</v>
      </c>
      <c r="H57" s="30">
        <f t="shared" si="2"/>
        <v>2.2866666666666666</v>
      </c>
      <c r="I57" t="str">
        <f t="shared" si="3"/>
        <v>Abnormal</v>
      </c>
    </row>
    <row r="58" spans="1:9" x14ac:dyDescent="0.3">
      <c r="A58" s="25" t="s">
        <v>45</v>
      </c>
      <c r="B58" t="s">
        <v>115</v>
      </c>
      <c r="C58" s="30">
        <v>3.01</v>
      </c>
      <c r="D58" s="30">
        <v>7.02</v>
      </c>
      <c r="E58" s="29">
        <v>38</v>
      </c>
      <c r="F58" s="30">
        <v>88.39</v>
      </c>
      <c r="G58" s="25" t="s">
        <v>45</v>
      </c>
      <c r="H58" s="30">
        <f t="shared" si="2"/>
        <v>2.3260526315789476</v>
      </c>
      <c r="I58" t="str">
        <f t="shared" si="3"/>
        <v>Normal</v>
      </c>
    </row>
    <row r="59" spans="1:9" x14ac:dyDescent="0.3">
      <c r="A59" s="25" t="s">
        <v>64</v>
      </c>
      <c r="B59" t="s">
        <v>113</v>
      </c>
      <c r="C59" s="30">
        <v>2.42</v>
      </c>
      <c r="D59" s="30">
        <v>13.1</v>
      </c>
      <c r="E59" s="29">
        <v>35</v>
      </c>
      <c r="F59" s="30">
        <v>67.98</v>
      </c>
      <c r="G59" s="25" t="s">
        <v>64</v>
      </c>
      <c r="H59" s="30">
        <f t="shared" si="2"/>
        <v>1.9422857142857144</v>
      </c>
      <c r="I59" t="str">
        <f t="shared" si="3"/>
        <v>Abnormal</v>
      </c>
    </row>
    <row r="60" spans="1:9" x14ac:dyDescent="0.3">
      <c r="A60" s="25" t="s">
        <v>64</v>
      </c>
      <c r="B60" t="s">
        <v>108</v>
      </c>
      <c r="C60" s="30">
        <v>5.18</v>
      </c>
      <c r="D60" s="30">
        <v>14.8</v>
      </c>
      <c r="E60" s="29">
        <v>29</v>
      </c>
      <c r="F60" s="30">
        <v>54.96</v>
      </c>
      <c r="G60" s="25" t="s">
        <v>64</v>
      </c>
      <c r="H60" s="30">
        <f t="shared" si="2"/>
        <v>1.8951724137931034</v>
      </c>
      <c r="I60" t="str">
        <f t="shared" si="3"/>
        <v>Abnormal</v>
      </c>
    </row>
    <row r="61" spans="1:9" x14ac:dyDescent="0.3">
      <c r="A61" s="25" t="s">
        <v>51</v>
      </c>
      <c r="B61" t="s">
        <v>109</v>
      </c>
      <c r="C61" s="30">
        <v>4.3099999999999996</v>
      </c>
      <c r="D61" s="30">
        <v>13.9</v>
      </c>
      <c r="E61" s="29">
        <v>30</v>
      </c>
      <c r="F61" s="30">
        <v>70.42</v>
      </c>
      <c r="G61" s="25" t="s">
        <v>51</v>
      </c>
      <c r="H61" s="30">
        <f t="shared" si="2"/>
        <v>2.3473333333333333</v>
      </c>
      <c r="I61" t="str">
        <f t="shared" si="3"/>
        <v>Abnormal</v>
      </c>
    </row>
    <row r="62" spans="1:9" x14ac:dyDescent="0.3">
      <c r="A62" s="25" t="s">
        <v>51</v>
      </c>
      <c r="B62" t="s">
        <v>115</v>
      </c>
      <c r="C62" s="30">
        <v>6.48</v>
      </c>
      <c r="D62" s="30">
        <v>9.19</v>
      </c>
      <c r="E62" s="29">
        <v>8</v>
      </c>
      <c r="F62" s="30">
        <v>25.67</v>
      </c>
      <c r="G62" s="25" t="s">
        <v>51</v>
      </c>
      <c r="H62" s="30">
        <f t="shared" si="2"/>
        <v>3.2087500000000002</v>
      </c>
      <c r="I62" t="str">
        <f t="shared" si="3"/>
        <v>Normal</v>
      </c>
    </row>
    <row r="63" spans="1:9" x14ac:dyDescent="0.3">
      <c r="A63" s="25" t="s">
        <v>51</v>
      </c>
      <c r="B63" t="s">
        <v>113</v>
      </c>
      <c r="C63" s="30">
        <v>5.26</v>
      </c>
      <c r="D63" s="30">
        <v>5.37</v>
      </c>
      <c r="E63" s="29">
        <v>34</v>
      </c>
      <c r="F63" s="30">
        <v>99.25</v>
      </c>
      <c r="G63" s="25" t="s">
        <v>51</v>
      </c>
      <c r="H63" s="30">
        <f t="shared" si="2"/>
        <v>2.9191176470588234</v>
      </c>
      <c r="I63" t="str">
        <f t="shared" si="3"/>
        <v>Normal</v>
      </c>
    </row>
    <row r="64" spans="1:9" x14ac:dyDescent="0.3">
      <c r="A64" s="25" t="s">
        <v>51</v>
      </c>
      <c r="B64" t="s">
        <v>108</v>
      </c>
      <c r="C64" s="30">
        <v>2.66</v>
      </c>
      <c r="D64" s="30">
        <v>11.77</v>
      </c>
      <c r="E64" s="29">
        <v>25</v>
      </c>
      <c r="F64" s="30">
        <v>71.790000000000006</v>
      </c>
      <c r="G64" s="25" t="s">
        <v>51</v>
      </c>
      <c r="H64" s="30">
        <f t="shared" si="2"/>
        <v>2.8716000000000004</v>
      </c>
      <c r="I64" t="str">
        <f t="shared" si="3"/>
        <v>Abnormal</v>
      </c>
    </row>
    <row r="65" spans="1:9" x14ac:dyDescent="0.3">
      <c r="A65" s="25" t="s">
        <v>129</v>
      </c>
      <c r="B65" t="s">
        <v>115</v>
      </c>
      <c r="C65" s="30">
        <v>4.99</v>
      </c>
      <c r="D65" s="30">
        <v>6.92</v>
      </c>
      <c r="E65" s="29">
        <v>27</v>
      </c>
      <c r="F65" s="30">
        <v>90.23</v>
      </c>
      <c r="G65" s="25" t="s">
        <v>129</v>
      </c>
      <c r="H65" s="30">
        <f t="shared" si="2"/>
        <v>3.3418518518518519</v>
      </c>
      <c r="I65" t="str">
        <f t="shared" si="3"/>
        <v>Normal</v>
      </c>
    </row>
    <row r="66" spans="1:9" x14ac:dyDescent="0.3">
      <c r="A66" s="25" t="s">
        <v>110</v>
      </c>
      <c r="B66" t="s">
        <v>111</v>
      </c>
      <c r="C66" s="30">
        <v>5.09</v>
      </c>
      <c r="D66" s="30">
        <v>8.19</v>
      </c>
      <c r="E66" s="29">
        <v>45</v>
      </c>
      <c r="F66" s="30">
        <v>133.29</v>
      </c>
      <c r="G66" s="25" t="s">
        <v>110</v>
      </c>
      <c r="H66" s="30">
        <f t="shared" ref="H66:H97" si="4">F66/E66</f>
        <v>2.9619999999999997</v>
      </c>
      <c r="I66" t="str">
        <f t="shared" ref="I66:I97" si="5">IF(D66&gt;10,"Abnormal","Normal")</f>
        <v>Normal</v>
      </c>
    </row>
    <row r="67" spans="1:9" x14ac:dyDescent="0.3">
      <c r="A67" s="25" t="s">
        <v>110</v>
      </c>
      <c r="B67" t="s">
        <v>111</v>
      </c>
      <c r="C67" s="30">
        <v>6.06</v>
      </c>
      <c r="D67" s="30">
        <v>10.41</v>
      </c>
      <c r="E67" s="29">
        <v>27</v>
      </c>
      <c r="F67" s="30">
        <v>89.6</v>
      </c>
      <c r="G67" s="25" t="s">
        <v>110</v>
      </c>
      <c r="H67" s="30">
        <f t="shared" si="4"/>
        <v>3.3185185185185184</v>
      </c>
      <c r="I67" t="str">
        <f t="shared" si="5"/>
        <v>Abnormal</v>
      </c>
    </row>
    <row r="68" spans="1:9" x14ac:dyDescent="0.3">
      <c r="A68" s="25" t="s">
        <v>110</v>
      </c>
      <c r="B68" t="s">
        <v>115</v>
      </c>
      <c r="C68" s="30">
        <v>5.97</v>
      </c>
      <c r="D68" s="30">
        <v>14.03</v>
      </c>
      <c r="E68" s="29">
        <v>32</v>
      </c>
      <c r="F68" s="30">
        <v>108.8</v>
      </c>
      <c r="G68" s="25" t="s">
        <v>110</v>
      </c>
      <c r="H68" s="30">
        <f t="shared" si="4"/>
        <v>3.4</v>
      </c>
      <c r="I68" t="str">
        <f t="shared" si="5"/>
        <v>Abnormal</v>
      </c>
    </row>
    <row r="69" spans="1:9" x14ac:dyDescent="0.3">
      <c r="A69" s="25" t="s">
        <v>110</v>
      </c>
      <c r="B69" s="22" t="s">
        <v>111</v>
      </c>
      <c r="C69" s="30">
        <v>5.97</v>
      </c>
      <c r="D69" s="30">
        <v>14.03</v>
      </c>
      <c r="E69" s="29">
        <v>32</v>
      </c>
      <c r="F69" s="30">
        <v>108.8</v>
      </c>
      <c r="G69" s="25" t="s">
        <v>110</v>
      </c>
      <c r="H69" s="30">
        <f t="shared" si="4"/>
        <v>3.4</v>
      </c>
      <c r="I69" t="str">
        <f t="shared" si="5"/>
        <v>Abnormal</v>
      </c>
    </row>
    <row r="70" spans="1:9" x14ac:dyDescent="0.3">
      <c r="A70" s="25" t="s">
        <v>65</v>
      </c>
      <c r="B70" t="s">
        <v>109</v>
      </c>
      <c r="C70" s="30">
        <v>4.53</v>
      </c>
      <c r="D70" s="30">
        <v>10.25</v>
      </c>
      <c r="E70" s="29">
        <v>39</v>
      </c>
      <c r="F70" s="30">
        <v>124.11</v>
      </c>
      <c r="G70" s="25" t="s">
        <v>65</v>
      </c>
      <c r="H70" s="30">
        <f t="shared" si="4"/>
        <v>3.1823076923076923</v>
      </c>
      <c r="I70" t="str">
        <f t="shared" si="5"/>
        <v>Abnormal</v>
      </c>
    </row>
    <row r="71" spans="1:9" x14ac:dyDescent="0.3">
      <c r="A71" s="25" t="s">
        <v>65</v>
      </c>
      <c r="B71" t="s">
        <v>111</v>
      </c>
      <c r="C71" s="30">
        <v>5.64</v>
      </c>
      <c r="D71" s="30">
        <v>10.119999999999999</v>
      </c>
      <c r="E71" s="29">
        <v>31</v>
      </c>
      <c r="F71" s="30">
        <v>90.96</v>
      </c>
      <c r="G71" s="25" t="s">
        <v>65</v>
      </c>
      <c r="H71" s="30">
        <f t="shared" si="4"/>
        <v>2.9341935483870967</v>
      </c>
      <c r="I71" t="str">
        <f t="shared" si="5"/>
        <v>Abnormal</v>
      </c>
    </row>
    <row r="72" spans="1:9" x14ac:dyDescent="0.3">
      <c r="A72" s="25" t="s">
        <v>65</v>
      </c>
      <c r="B72" t="s">
        <v>111</v>
      </c>
      <c r="C72" s="30">
        <v>3.4</v>
      </c>
      <c r="D72" s="30">
        <v>11.72</v>
      </c>
      <c r="E72" s="29">
        <v>18</v>
      </c>
      <c r="F72" s="30">
        <v>51.94</v>
      </c>
      <c r="G72" s="25" t="s">
        <v>65</v>
      </c>
      <c r="H72" s="30">
        <f t="shared" si="4"/>
        <v>2.8855555555555554</v>
      </c>
      <c r="I72" t="str">
        <f t="shared" si="5"/>
        <v>Abnormal</v>
      </c>
    </row>
    <row r="73" spans="1:9" x14ac:dyDescent="0.3">
      <c r="A73" s="25" t="s">
        <v>65</v>
      </c>
      <c r="B73" t="s">
        <v>111</v>
      </c>
      <c r="C73" s="30">
        <v>6.03</v>
      </c>
      <c r="D73" s="30">
        <v>10.55</v>
      </c>
      <c r="E73" s="29">
        <v>22</v>
      </c>
      <c r="F73" s="30">
        <v>69.44</v>
      </c>
      <c r="G73" s="25" t="s">
        <v>65</v>
      </c>
      <c r="H73" s="30">
        <f t="shared" si="4"/>
        <v>3.1563636363636363</v>
      </c>
      <c r="I73" t="str">
        <f t="shared" si="5"/>
        <v>Abnormal</v>
      </c>
    </row>
    <row r="74" spans="1:9" x14ac:dyDescent="0.3">
      <c r="A74" s="25" t="s">
        <v>90</v>
      </c>
      <c r="B74" t="s">
        <v>109</v>
      </c>
      <c r="C74" s="30">
        <v>6.53</v>
      </c>
      <c r="D74" s="30">
        <v>9.24</v>
      </c>
      <c r="E74" s="29">
        <v>13</v>
      </c>
      <c r="F74" s="30">
        <v>28.78</v>
      </c>
      <c r="G74" s="25" t="s">
        <v>90</v>
      </c>
      <c r="H74" s="30">
        <f t="shared" si="4"/>
        <v>2.2138461538461538</v>
      </c>
      <c r="I74" t="str">
        <f t="shared" si="5"/>
        <v>Normal</v>
      </c>
    </row>
    <row r="75" spans="1:9" x14ac:dyDescent="0.3">
      <c r="A75" s="25" t="s">
        <v>90</v>
      </c>
      <c r="B75" t="s">
        <v>111</v>
      </c>
      <c r="C75" s="30">
        <v>7.47</v>
      </c>
      <c r="D75" s="30">
        <v>9.8000000000000007</v>
      </c>
      <c r="E75" s="29">
        <v>13</v>
      </c>
      <c r="F75" s="30">
        <v>28.51</v>
      </c>
      <c r="G75" s="25" t="s">
        <v>90</v>
      </c>
      <c r="H75" s="30">
        <f t="shared" si="4"/>
        <v>2.1930769230769234</v>
      </c>
      <c r="I75" t="str">
        <f t="shared" si="5"/>
        <v>Normal</v>
      </c>
    </row>
    <row r="76" spans="1:9" x14ac:dyDescent="0.3">
      <c r="A76" s="25" t="s">
        <v>117</v>
      </c>
      <c r="B76" t="s">
        <v>113</v>
      </c>
      <c r="C76" s="30">
        <v>4.49</v>
      </c>
      <c r="D76" s="30">
        <v>5.22</v>
      </c>
      <c r="E76" s="29">
        <v>8</v>
      </c>
      <c r="F76" s="30">
        <v>19.25</v>
      </c>
      <c r="G76" s="25" t="s">
        <v>117</v>
      </c>
      <c r="H76" s="30">
        <f t="shared" si="4"/>
        <v>2.40625</v>
      </c>
      <c r="I76" t="str">
        <f t="shared" si="5"/>
        <v>Normal</v>
      </c>
    </row>
    <row r="77" spans="1:9" x14ac:dyDescent="0.3">
      <c r="A77" s="25" t="s">
        <v>117</v>
      </c>
      <c r="B77" t="s">
        <v>111</v>
      </c>
      <c r="C77" s="30">
        <v>5.9</v>
      </c>
      <c r="D77" s="30">
        <v>6.4</v>
      </c>
      <c r="E77" s="29">
        <v>27</v>
      </c>
      <c r="F77" s="30">
        <v>80.97</v>
      </c>
      <c r="G77" s="25" t="s">
        <v>117</v>
      </c>
      <c r="H77" s="30">
        <f t="shared" si="4"/>
        <v>2.9988888888888887</v>
      </c>
      <c r="I77" t="str">
        <f t="shared" si="5"/>
        <v>Normal</v>
      </c>
    </row>
    <row r="78" spans="1:9" x14ac:dyDescent="0.3">
      <c r="A78" s="25" t="s">
        <v>117</v>
      </c>
      <c r="B78" t="s">
        <v>109</v>
      </c>
      <c r="C78" s="30">
        <v>2.88</v>
      </c>
      <c r="D78" s="30">
        <v>11.86</v>
      </c>
      <c r="E78" s="29">
        <v>25</v>
      </c>
      <c r="F78" s="30">
        <v>53.93</v>
      </c>
      <c r="G78" s="25" t="s">
        <v>117</v>
      </c>
      <c r="H78" s="30">
        <f t="shared" si="4"/>
        <v>2.1572</v>
      </c>
      <c r="I78" t="str">
        <f t="shared" si="5"/>
        <v>Abnormal</v>
      </c>
    </row>
    <row r="79" spans="1:9" x14ac:dyDescent="0.3">
      <c r="A79" s="25" t="s">
        <v>28</v>
      </c>
      <c r="B79" t="s">
        <v>111</v>
      </c>
      <c r="C79" s="30">
        <v>3.77</v>
      </c>
      <c r="D79" s="30">
        <v>5.99</v>
      </c>
      <c r="E79" s="29">
        <v>28</v>
      </c>
      <c r="F79" s="30">
        <v>51.34</v>
      </c>
      <c r="G79" s="25" t="s">
        <v>28</v>
      </c>
      <c r="H79" s="30">
        <f t="shared" si="4"/>
        <v>1.8335714285714286</v>
      </c>
      <c r="I79" t="str">
        <f t="shared" si="5"/>
        <v>Normal</v>
      </c>
    </row>
    <row r="80" spans="1:9" x14ac:dyDescent="0.3">
      <c r="A80" s="25" t="s">
        <v>28</v>
      </c>
      <c r="B80" t="s">
        <v>113</v>
      </c>
      <c r="C80" s="30">
        <v>3.49</v>
      </c>
      <c r="D80" s="30">
        <v>11.86</v>
      </c>
      <c r="E80" s="29">
        <v>35</v>
      </c>
      <c r="F80" s="30">
        <v>75.45</v>
      </c>
      <c r="G80" s="25" t="s">
        <v>28</v>
      </c>
      <c r="H80" s="30">
        <f t="shared" si="4"/>
        <v>2.1557142857142857</v>
      </c>
      <c r="I80" t="str">
        <f t="shared" si="5"/>
        <v>Abnormal</v>
      </c>
    </row>
    <row r="81" spans="1:9" x14ac:dyDescent="0.3">
      <c r="A81" s="26" t="s">
        <v>52</v>
      </c>
      <c r="B81" s="22" t="s">
        <v>111</v>
      </c>
      <c r="C81" s="28">
        <v>2.82</v>
      </c>
      <c r="D81" s="28">
        <v>13.83</v>
      </c>
      <c r="E81" s="27">
        <v>22</v>
      </c>
      <c r="F81" s="28">
        <v>51.34</v>
      </c>
      <c r="G81" s="25" t="s">
        <v>28</v>
      </c>
      <c r="H81" s="30">
        <f t="shared" si="4"/>
        <v>2.333636363636364</v>
      </c>
      <c r="I81" t="str">
        <f t="shared" si="5"/>
        <v>Abnormal</v>
      </c>
    </row>
    <row r="82" spans="1:9" x14ac:dyDescent="0.3">
      <c r="A82" s="26" t="s">
        <v>52</v>
      </c>
      <c r="B82" s="22" t="s">
        <v>111</v>
      </c>
      <c r="C82" s="28">
        <v>5.23</v>
      </c>
      <c r="D82" s="28">
        <v>14.16</v>
      </c>
      <c r="E82" s="27">
        <v>16</v>
      </c>
      <c r="F82" s="28">
        <v>33.57</v>
      </c>
      <c r="G82" s="25" t="s">
        <v>28</v>
      </c>
      <c r="H82" s="30">
        <f t="shared" si="4"/>
        <v>2.098125</v>
      </c>
      <c r="I82" t="str">
        <f t="shared" si="5"/>
        <v>Abnormal</v>
      </c>
    </row>
    <row r="83" spans="1:9" x14ac:dyDescent="0.3">
      <c r="A83" s="25" t="s">
        <v>123</v>
      </c>
      <c r="B83" t="s">
        <v>108</v>
      </c>
      <c r="C83" s="30">
        <v>2.42</v>
      </c>
      <c r="D83" s="30">
        <v>14.54</v>
      </c>
      <c r="E83" s="29">
        <v>25</v>
      </c>
      <c r="F83" s="30">
        <v>48.11</v>
      </c>
      <c r="G83" s="25" t="s">
        <v>123</v>
      </c>
      <c r="H83" s="30">
        <f t="shared" si="4"/>
        <v>1.9243999999999999</v>
      </c>
      <c r="I83" t="str">
        <f t="shared" si="5"/>
        <v>Abnormal</v>
      </c>
    </row>
    <row r="84" spans="1:9" x14ac:dyDescent="0.3">
      <c r="A84" s="25" t="s">
        <v>123</v>
      </c>
      <c r="B84" t="s">
        <v>113</v>
      </c>
      <c r="C84" s="30">
        <v>6.27</v>
      </c>
      <c r="D84" s="30">
        <v>14.24</v>
      </c>
      <c r="E84" s="29">
        <v>29</v>
      </c>
      <c r="F84" s="30">
        <v>94.28</v>
      </c>
      <c r="G84" s="25" t="s">
        <v>123</v>
      </c>
      <c r="H84" s="30">
        <f t="shared" si="4"/>
        <v>3.2510344827586208</v>
      </c>
      <c r="I84" t="str">
        <f t="shared" si="5"/>
        <v>Abnormal</v>
      </c>
    </row>
    <row r="85" spans="1:9" x14ac:dyDescent="0.3">
      <c r="A85" s="25" t="s">
        <v>56</v>
      </c>
      <c r="B85" t="s">
        <v>111</v>
      </c>
      <c r="C85" s="30">
        <v>6.58</v>
      </c>
      <c r="D85" s="30">
        <v>6.43</v>
      </c>
      <c r="E85" s="29">
        <v>16</v>
      </c>
      <c r="F85" s="30">
        <v>38.409999999999997</v>
      </c>
      <c r="G85" s="25" t="s">
        <v>56</v>
      </c>
      <c r="H85" s="30">
        <f t="shared" si="4"/>
        <v>2.4006249999999998</v>
      </c>
      <c r="I85" t="str">
        <f t="shared" si="5"/>
        <v>Normal</v>
      </c>
    </row>
    <row r="86" spans="1:9" x14ac:dyDescent="0.3">
      <c r="A86" s="25" t="s">
        <v>35</v>
      </c>
      <c r="B86" t="s">
        <v>115</v>
      </c>
      <c r="C86" s="30">
        <v>3.74</v>
      </c>
      <c r="D86" s="30">
        <v>12.17</v>
      </c>
      <c r="E86" s="29">
        <v>13</v>
      </c>
      <c r="F86" s="30">
        <v>40.98</v>
      </c>
      <c r="G86" s="25" t="s">
        <v>35</v>
      </c>
      <c r="H86" s="30">
        <f t="shared" si="4"/>
        <v>3.152307692307692</v>
      </c>
      <c r="I86" t="str">
        <f t="shared" si="5"/>
        <v>Abnormal</v>
      </c>
    </row>
    <row r="87" spans="1:9" x14ac:dyDescent="0.3">
      <c r="A87" s="25" t="s">
        <v>35</v>
      </c>
      <c r="B87" t="s">
        <v>108</v>
      </c>
      <c r="C87" s="30">
        <v>7.4</v>
      </c>
      <c r="D87" s="30">
        <v>10.69</v>
      </c>
      <c r="E87" s="29">
        <v>11</v>
      </c>
      <c r="F87" s="30">
        <v>35.020000000000003</v>
      </c>
      <c r="G87" s="25" t="s">
        <v>35</v>
      </c>
      <c r="H87" s="30">
        <f t="shared" si="4"/>
        <v>3.183636363636364</v>
      </c>
      <c r="I87" t="str">
        <f t="shared" si="5"/>
        <v>Abnormal</v>
      </c>
    </row>
    <row r="88" spans="1:9" x14ac:dyDescent="0.3">
      <c r="A88" s="25" t="s">
        <v>35</v>
      </c>
      <c r="B88" t="s">
        <v>109</v>
      </c>
      <c r="C88" s="30">
        <v>4.63</v>
      </c>
      <c r="D88" s="30">
        <v>13</v>
      </c>
      <c r="E88" s="29">
        <v>31</v>
      </c>
      <c r="F88" s="30">
        <v>77.08</v>
      </c>
      <c r="G88" s="25" t="s">
        <v>35</v>
      </c>
      <c r="H88" s="30">
        <f t="shared" si="4"/>
        <v>2.4864516129032257</v>
      </c>
      <c r="I88" t="str">
        <f t="shared" si="5"/>
        <v>Abnormal</v>
      </c>
    </row>
    <row r="89" spans="1:9" x14ac:dyDescent="0.3">
      <c r="A89" s="25" t="s">
        <v>67</v>
      </c>
      <c r="B89" t="s">
        <v>111</v>
      </c>
      <c r="C89" s="30">
        <v>2.2999999999999998</v>
      </c>
      <c r="D89" s="30">
        <v>5.9</v>
      </c>
      <c r="E89" s="29">
        <v>16</v>
      </c>
      <c r="F89" s="30">
        <v>31.5</v>
      </c>
      <c r="G89" s="25" t="s">
        <v>67</v>
      </c>
      <c r="H89" s="30">
        <f t="shared" si="4"/>
        <v>1.96875</v>
      </c>
      <c r="I89" t="str">
        <f t="shared" si="5"/>
        <v>Normal</v>
      </c>
    </row>
    <row r="90" spans="1:9" x14ac:dyDescent="0.3">
      <c r="A90" s="25" t="s">
        <v>94</v>
      </c>
      <c r="B90" t="s">
        <v>113</v>
      </c>
      <c r="C90" s="30">
        <v>3.16</v>
      </c>
      <c r="D90" s="30">
        <v>7.9</v>
      </c>
      <c r="E90" s="29">
        <v>13</v>
      </c>
      <c r="F90" s="30">
        <v>29.83</v>
      </c>
      <c r="G90" s="25" t="s">
        <v>94</v>
      </c>
      <c r="H90" s="30">
        <f t="shared" si="4"/>
        <v>2.2946153846153843</v>
      </c>
      <c r="I90" t="str">
        <f t="shared" si="5"/>
        <v>Normal</v>
      </c>
    </row>
    <row r="91" spans="1:9" x14ac:dyDescent="0.3">
      <c r="A91" s="25" t="s">
        <v>94</v>
      </c>
      <c r="B91" t="s">
        <v>113</v>
      </c>
      <c r="C91" s="30">
        <v>6.67</v>
      </c>
      <c r="D91" s="30">
        <v>6.66</v>
      </c>
      <c r="E91" s="29">
        <v>9</v>
      </c>
      <c r="F91" s="30">
        <v>27.63</v>
      </c>
      <c r="G91" s="25" t="s">
        <v>94</v>
      </c>
      <c r="H91" s="30">
        <f t="shared" si="4"/>
        <v>3.07</v>
      </c>
      <c r="I91" t="str">
        <f t="shared" si="5"/>
        <v>Normal</v>
      </c>
    </row>
    <row r="92" spans="1:9" x14ac:dyDescent="0.3">
      <c r="A92" s="25" t="s">
        <v>94</v>
      </c>
      <c r="B92" t="s">
        <v>113</v>
      </c>
      <c r="C92" s="30">
        <v>3.01</v>
      </c>
      <c r="D92" s="30">
        <v>11.29</v>
      </c>
      <c r="E92" s="29">
        <v>13</v>
      </c>
      <c r="F92" s="30">
        <v>42.39</v>
      </c>
      <c r="G92" s="25" t="s">
        <v>94</v>
      </c>
      <c r="H92" s="30">
        <f t="shared" si="4"/>
        <v>3.2607692307692306</v>
      </c>
      <c r="I92" t="str">
        <f t="shared" si="5"/>
        <v>Abnormal</v>
      </c>
    </row>
    <row r="93" spans="1:9" x14ac:dyDescent="0.3">
      <c r="A93" s="25" t="s">
        <v>127</v>
      </c>
      <c r="B93" t="s">
        <v>109</v>
      </c>
      <c r="C93" s="30">
        <v>2.54</v>
      </c>
      <c r="D93" s="30">
        <v>9.1300000000000008</v>
      </c>
      <c r="E93" s="29">
        <v>41</v>
      </c>
      <c r="F93" s="30">
        <v>109.91</v>
      </c>
      <c r="G93" s="25" t="s">
        <v>127</v>
      </c>
      <c r="H93" s="30">
        <f t="shared" si="4"/>
        <v>2.6807317073170731</v>
      </c>
      <c r="I93" t="str">
        <f t="shared" si="5"/>
        <v>Normal</v>
      </c>
    </row>
    <row r="94" spans="1:9" x14ac:dyDescent="0.3">
      <c r="A94" s="25" t="s">
        <v>124</v>
      </c>
      <c r="B94" t="s">
        <v>115</v>
      </c>
      <c r="C94" s="30">
        <v>2.8</v>
      </c>
      <c r="D94" s="30">
        <v>9.44</v>
      </c>
      <c r="E94" s="29">
        <v>42</v>
      </c>
      <c r="F94" s="28">
        <v>84.3</v>
      </c>
      <c r="G94" s="25" t="s">
        <v>124</v>
      </c>
      <c r="H94" s="30">
        <f t="shared" si="4"/>
        <v>2.0071428571428571</v>
      </c>
      <c r="I94" t="str">
        <f t="shared" si="5"/>
        <v>Normal</v>
      </c>
    </row>
    <row r="95" spans="1:9" x14ac:dyDescent="0.3">
      <c r="A95" s="25" t="s">
        <v>97</v>
      </c>
      <c r="B95" t="s">
        <v>108</v>
      </c>
      <c r="C95" s="30">
        <v>3.56</v>
      </c>
      <c r="D95" s="30">
        <v>6.47</v>
      </c>
      <c r="E95" s="29">
        <v>40</v>
      </c>
      <c r="F95" s="30">
        <v>105.07</v>
      </c>
      <c r="G95" s="25" t="s">
        <v>97</v>
      </c>
      <c r="H95" s="30">
        <f t="shared" si="4"/>
        <v>2.6267499999999999</v>
      </c>
      <c r="I95" t="str">
        <f t="shared" si="5"/>
        <v>Normal</v>
      </c>
    </row>
    <row r="96" spans="1:9" x14ac:dyDescent="0.3">
      <c r="A96" s="25" t="s">
        <v>97</v>
      </c>
      <c r="B96" t="s">
        <v>108</v>
      </c>
      <c r="C96" s="30">
        <v>5.96</v>
      </c>
      <c r="D96" s="30">
        <v>9.15</v>
      </c>
      <c r="E96" s="29">
        <v>15</v>
      </c>
      <c r="F96" s="30">
        <v>31.66</v>
      </c>
      <c r="G96" s="25" t="s">
        <v>97</v>
      </c>
      <c r="H96" s="30">
        <f t="shared" si="4"/>
        <v>2.1106666666666665</v>
      </c>
      <c r="I96" t="str">
        <f t="shared" si="5"/>
        <v>Normal</v>
      </c>
    </row>
    <row r="97" spans="1:9" x14ac:dyDescent="0.3">
      <c r="A97" s="25" t="s">
        <v>66</v>
      </c>
      <c r="B97" t="s">
        <v>115</v>
      </c>
      <c r="C97" s="30">
        <v>5.3</v>
      </c>
      <c r="D97" s="30">
        <v>5.18</v>
      </c>
      <c r="E97" s="29">
        <v>44</v>
      </c>
      <c r="F97" s="30">
        <v>85.81</v>
      </c>
      <c r="G97" s="25" t="s">
        <v>66</v>
      </c>
      <c r="H97" s="30">
        <f t="shared" si="4"/>
        <v>1.9502272727272727</v>
      </c>
      <c r="I97" t="str">
        <f t="shared" si="5"/>
        <v>Normal</v>
      </c>
    </row>
    <row r="98" spans="1:9" x14ac:dyDescent="0.3">
      <c r="A98" s="25" t="s">
        <v>116</v>
      </c>
      <c r="B98" t="s">
        <v>111</v>
      </c>
      <c r="C98" s="30">
        <v>2.2400000000000002</v>
      </c>
      <c r="D98" s="30">
        <v>10.74</v>
      </c>
      <c r="E98" s="29">
        <v>26</v>
      </c>
      <c r="F98" s="30">
        <v>84.26</v>
      </c>
      <c r="G98" s="25" t="s">
        <v>116</v>
      </c>
      <c r="H98" s="30">
        <f t="shared" ref="H98:H129" si="6">F98/E98</f>
        <v>3.2407692307692311</v>
      </c>
      <c r="I98" t="str">
        <f t="shared" ref="I98:I129" si="7">IF(D98&gt;10,"Abnormal","Normal")</f>
        <v>Abnormal</v>
      </c>
    </row>
    <row r="99" spans="1:9" x14ac:dyDescent="0.3">
      <c r="A99" s="25" t="s">
        <v>76</v>
      </c>
      <c r="B99" t="s">
        <v>109</v>
      </c>
      <c r="C99" s="30">
        <v>5.15</v>
      </c>
      <c r="D99" s="30">
        <v>5.82</v>
      </c>
      <c r="E99" s="29">
        <v>21</v>
      </c>
      <c r="F99" s="30">
        <v>38.020000000000003</v>
      </c>
      <c r="G99" s="25" t="s">
        <v>76</v>
      </c>
      <c r="H99" s="30">
        <f t="shared" si="6"/>
        <v>1.8104761904761906</v>
      </c>
      <c r="I99" t="str">
        <f t="shared" si="7"/>
        <v>Normal</v>
      </c>
    </row>
    <row r="100" spans="1:9" x14ac:dyDescent="0.3">
      <c r="A100" s="25" t="s">
        <v>47</v>
      </c>
      <c r="B100" t="s">
        <v>115</v>
      </c>
      <c r="C100" s="30">
        <v>6.4</v>
      </c>
      <c r="D100" s="30">
        <v>13.32</v>
      </c>
      <c r="E100" s="29">
        <v>43</v>
      </c>
      <c r="F100" s="30">
        <v>126.14</v>
      </c>
      <c r="G100" s="25" t="s">
        <v>47</v>
      </c>
      <c r="H100" s="30">
        <f t="shared" si="6"/>
        <v>2.9334883720930232</v>
      </c>
      <c r="I100" t="str">
        <f t="shared" si="7"/>
        <v>Abnormal</v>
      </c>
    </row>
    <row r="101" spans="1:9" x14ac:dyDescent="0.3">
      <c r="A101" s="25" t="s">
        <v>33</v>
      </c>
      <c r="B101" t="s">
        <v>108</v>
      </c>
      <c r="C101" s="30">
        <v>7.09</v>
      </c>
      <c r="D101" s="30">
        <v>12.15</v>
      </c>
      <c r="E101" s="29">
        <v>27</v>
      </c>
      <c r="F101" s="30">
        <v>81.14</v>
      </c>
      <c r="G101" s="25" t="s">
        <v>33</v>
      </c>
      <c r="H101" s="30">
        <f t="shared" si="6"/>
        <v>3.0051851851851854</v>
      </c>
      <c r="I101" t="str">
        <f t="shared" si="7"/>
        <v>Abnormal</v>
      </c>
    </row>
    <row r="102" spans="1:9" x14ac:dyDescent="0.3">
      <c r="A102" s="25" t="s">
        <v>33</v>
      </c>
      <c r="B102" t="s">
        <v>108</v>
      </c>
      <c r="C102" s="30">
        <v>2.35</v>
      </c>
      <c r="D102" s="30">
        <v>5.6</v>
      </c>
      <c r="E102" s="29">
        <v>24</v>
      </c>
      <c r="F102" s="30">
        <v>66.959999999999994</v>
      </c>
      <c r="G102" s="25" t="s">
        <v>33</v>
      </c>
      <c r="H102" s="30">
        <f t="shared" si="6"/>
        <v>2.7899999999999996</v>
      </c>
      <c r="I102" t="str">
        <f t="shared" si="7"/>
        <v>Normal</v>
      </c>
    </row>
    <row r="103" spans="1:9" x14ac:dyDescent="0.3">
      <c r="A103" s="25" t="s">
        <v>61</v>
      </c>
      <c r="B103" t="s">
        <v>113</v>
      </c>
      <c r="C103" s="30">
        <v>6.75</v>
      </c>
      <c r="D103" s="30">
        <v>7.28</v>
      </c>
      <c r="E103" s="29">
        <v>31</v>
      </c>
      <c r="F103" s="30">
        <v>96.4</v>
      </c>
      <c r="G103" s="25" t="s">
        <v>61</v>
      </c>
      <c r="H103" s="30">
        <f t="shared" si="6"/>
        <v>3.1096774193548389</v>
      </c>
      <c r="I103" t="str">
        <f t="shared" si="7"/>
        <v>Normal</v>
      </c>
    </row>
    <row r="104" spans="1:9" x14ac:dyDescent="0.3">
      <c r="A104" s="25" t="s">
        <v>61</v>
      </c>
      <c r="B104" t="s">
        <v>111</v>
      </c>
      <c r="C104" s="30">
        <v>5.89</v>
      </c>
      <c r="D104" s="30">
        <v>9.36</v>
      </c>
      <c r="E104" s="29">
        <v>43</v>
      </c>
      <c r="F104" s="30">
        <v>84.29</v>
      </c>
      <c r="G104" s="25" t="s">
        <v>61</v>
      </c>
      <c r="H104" s="30">
        <f t="shared" si="6"/>
        <v>1.960232558139535</v>
      </c>
      <c r="I104" t="str">
        <f t="shared" si="7"/>
        <v>Normal</v>
      </c>
    </row>
    <row r="105" spans="1:9" x14ac:dyDescent="0.3">
      <c r="A105" s="25" t="s">
        <v>61</v>
      </c>
      <c r="B105" t="s">
        <v>111</v>
      </c>
      <c r="C105" s="30">
        <v>3.43</v>
      </c>
      <c r="D105" s="30">
        <v>12.24</v>
      </c>
      <c r="E105" s="29">
        <v>22</v>
      </c>
      <c r="F105" s="30">
        <v>55.07</v>
      </c>
      <c r="G105" s="25" t="s">
        <v>61</v>
      </c>
      <c r="H105" s="30">
        <f t="shared" si="6"/>
        <v>2.5031818181818184</v>
      </c>
      <c r="I105" t="str">
        <f t="shared" si="7"/>
        <v>Abnormal</v>
      </c>
    </row>
    <row r="106" spans="1:9" x14ac:dyDescent="0.3">
      <c r="A106" s="25" t="s">
        <v>61</v>
      </c>
      <c r="B106" t="s">
        <v>109</v>
      </c>
      <c r="C106" s="30">
        <v>4.0599999999999996</v>
      </c>
      <c r="D106" s="30">
        <v>13.97</v>
      </c>
      <c r="E106" s="29">
        <v>29</v>
      </c>
      <c r="F106" s="30">
        <v>94.81</v>
      </c>
      <c r="G106" s="25" t="s">
        <v>61</v>
      </c>
      <c r="H106" s="30">
        <f t="shared" si="6"/>
        <v>3.2693103448275864</v>
      </c>
      <c r="I106" t="str">
        <f t="shared" si="7"/>
        <v>Abnormal</v>
      </c>
    </row>
    <row r="107" spans="1:9" x14ac:dyDescent="0.3">
      <c r="A107" s="25" t="s">
        <v>71</v>
      </c>
      <c r="B107" t="s">
        <v>109</v>
      </c>
      <c r="C107" s="30">
        <v>2.12</v>
      </c>
      <c r="D107" s="30">
        <v>5.52</v>
      </c>
      <c r="E107" s="29">
        <v>20</v>
      </c>
      <c r="F107" s="30">
        <v>55.94</v>
      </c>
      <c r="G107" s="25" t="s">
        <v>71</v>
      </c>
      <c r="H107" s="30">
        <f t="shared" si="6"/>
        <v>2.7969999999999997</v>
      </c>
      <c r="I107" t="str">
        <f t="shared" si="7"/>
        <v>Normal</v>
      </c>
    </row>
    <row r="108" spans="1:9" x14ac:dyDescent="0.3">
      <c r="A108" s="25" t="s">
        <v>71</v>
      </c>
      <c r="B108" t="s">
        <v>108</v>
      </c>
      <c r="C108" s="30">
        <v>7.82</v>
      </c>
      <c r="D108" s="30">
        <v>10.84</v>
      </c>
      <c r="E108" s="29">
        <v>20</v>
      </c>
      <c r="F108" s="30">
        <v>38.619999999999997</v>
      </c>
      <c r="G108" s="25" t="s">
        <v>71</v>
      </c>
      <c r="H108" s="30">
        <f t="shared" si="6"/>
        <v>1.9309999999999998</v>
      </c>
      <c r="I108" t="str">
        <f t="shared" si="7"/>
        <v>Abnormal</v>
      </c>
    </row>
    <row r="109" spans="1:9" x14ac:dyDescent="0.3">
      <c r="A109" s="25" t="s">
        <v>83</v>
      </c>
      <c r="B109" t="s">
        <v>111</v>
      </c>
      <c r="C109" s="30">
        <v>6.24</v>
      </c>
      <c r="D109" s="30">
        <v>8.57</v>
      </c>
      <c r="E109" s="29">
        <v>11</v>
      </c>
      <c r="F109" s="30">
        <v>34.72</v>
      </c>
      <c r="G109" s="25" t="s">
        <v>83</v>
      </c>
      <c r="H109" s="30">
        <f t="shared" si="6"/>
        <v>3.1563636363636363</v>
      </c>
      <c r="I109" t="str">
        <f t="shared" si="7"/>
        <v>Normal</v>
      </c>
    </row>
    <row r="110" spans="1:9" x14ac:dyDescent="0.3">
      <c r="A110" s="25" t="s">
        <v>50</v>
      </c>
      <c r="B110" t="s">
        <v>109</v>
      </c>
      <c r="C110" s="30">
        <v>5.57</v>
      </c>
      <c r="D110" s="30">
        <v>5.07</v>
      </c>
      <c r="E110" s="29">
        <v>16</v>
      </c>
      <c r="F110" s="30">
        <v>42.19</v>
      </c>
      <c r="G110" s="25" t="s">
        <v>50</v>
      </c>
      <c r="H110" s="30">
        <f t="shared" si="6"/>
        <v>2.6368749999999999</v>
      </c>
      <c r="I110" t="str">
        <f t="shared" si="7"/>
        <v>Normal</v>
      </c>
    </row>
    <row r="111" spans="1:9" x14ac:dyDescent="0.3">
      <c r="A111" s="25" t="s">
        <v>122</v>
      </c>
      <c r="B111" t="s">
        <v>108</v>
      </c>
      <c r="C111" s="30">
        <v>3.42</v>
      </c>
      <c r="D111" s="30">
        <v>14.99</v>
      </c>
      <c r="E111" s="29">
        <v>44</v>
      </c>
      <c r="F111" s="30">
        <v>105.1</v>
      </c>
      <c r="G111" s="25" t="s">
        <v>122</v>
      </c>
      <c r="H111" s="30">
        <f t="shared" si="6"/>
        <v>2.3886363636363637</v>
      </c>
      <c r="I111" t="str">
        <f t="shared" si="7"/>
        <v>Abnormal</v>
      </c>
    </row>
    <row r="112" spans="1:9" x14ac:dyDescent="0.3">
      <c r="A112" s="25" t="s">
        <v>68</v>
      </c>
      <c r="B112" t="s">
        <v>113</v>
      </c>
      <c r="C112" s="30">
        <v>7.76</v>
      </c>
      <c r="D112" s="30">
        <v>13.19</v>
      </c>
      <c r="E112" s="29">
        <v>40</v>
      </c>
      <c r="F112" s="30">
        <v>74.16</v>
      </c>
      <c r="G112" s="25" t="s">
        <v>68</v>
      </c>
      <c r="H112" s="30">
        <f t="shared" si="6"/>
        <v>1.8539999999999999</v>
      </c>
      <c r="I112" t="str">
        <f t="shared" si="7"/>
        <v>Abnormal</v>
      </c>
    </row>
    <row r="113" spans="1:9" x14ac:dyDescent="0.3">
      <c r="A113" s="25" t="s">
        <v>68</v>
      </c>
      <c r="B113" t="s">
        <v>113</v>
      </c>
      <c r="C113" s="30">
        <v>5.45</v>
      </c>
      <c r="D113" s="30">
        <v>11.46</v>
      </c>
      <c r="E113" s="29">
        <v>41</v>
      </c>
      <c r="F113" s="30">
        <v>132.55000000000001</v>
      </c>
      <c r="G113" s="25" t="s">
        <v>68</v>
      </c>
      <c r="H113" s="30">
        <f t="shared" si="6"/>
        <v>3.2329268292682931</v>
      </c>
      <c r="I113" t="str">
        <f t="shared" si="7"/>
        <v>Abnormal</v>
      </c>
    </row>
    <row r="114" spans="1:9" x14ac:dyDescent="0.3">
      <c r="A114" s="25" t="s">
        <v>68</v>
      </c>
      <c r="B114" t="s">
        <v>109</v>
      </c>
      <c r="C114" s="30">
        <v>4.79</v>
      </c>
      <c r="D114" s="30">
        <v>7.64</v>
      </c>
      <c r="E114" s="29">
        <v>31</v>
      </c>
      <c r="F114" s="30">
        <v>83.92</v>
      </c>
      <c r="G114" s="25" t="s">
        <v>68</v>
      </c>
      <c r="H114" s="30">
        <f t="shared" si="6"/>
        <v>2.7070967741935483</v>
      </c>
      <c r="I114" t="str">
        <f t="shared" si="7"/>
        <v>Normal</v>
      </c>
    </row>
    <row r="115" spans="1:9" x14ac:dyDescent="0.3">
      <c r="A115" s="25" t="s">
        <v>74</v>
      </c>
      <c r="B115" t="s">
        <v>108</v>
      </c>
      <c r="C115" s="30">
        <v>7.21</v>
      </c>
      <c r="D115" s="30">
        <v>13.35</v>
      </c>
      <c r="E115" s="29">
        <v>20</v>
      </c>
      <c r="F115" s="30">
        <v>63.84</v>
      </c>
      <c r="G115" s="25" t="s">
        <v>74</v>
      </c>
      <c r="H115" s="30">
        <f t="shared" si="6"/>
        <v>3.1920000000000002</v>
      </c>
      <c r="I115" t="str">
        <f t="shared" si="7"/>
        <v>Abnormal</v>
      </c>
    </row>
    <row r="116" spans="1:9" x14ac:dyDescent="0.3">
      <c r="A116" s="25" t="s">
        <v>82</v>
      </c>
      <c r="B116" t="s">
        <v>109</v>
      </c>
      <c r="C116" s="30">
        <v>3.19</v>
      </c>
      <c r="D116" s="30">
        <v>12.62</v>
      </c>
      <c r="E116" s="29">
        <v>36</v>
      </c>
      <c r="F116" s="30">
        <v>91.63</v>
      </c>
      <c r="G116" s="25" t="s">
        <v>82</v>
      </c>
      <c r="H116" s="30">
        <f t="shared" si="6"/>
        <v>2.5452777777777778</v>
      </c>
      <c r="I116" t="str">
        <f t="shared" si="7"/>
        <v>Abnormal</v>
      </c>
    </row>
    <row r="117" spans="1:9" x14ac:dyDescent="0.3">
      <c r="A117" s="25" t="s">
        <v>82</v>
      </c>
      <c r="B117" t="s">
        <v>111</v>
      </c>
      <c r="C117" s="30">
        <v>6.52</v>
      </c>
      <c r="D117" s="30">
        <v>12.5</v>
      </c>
      <c r="E117" s="29">
        <v>39</v>
      </c>
      <c r="F117" s="30">
        <v>108.55</v>
      </c>
      <c r="G117" s="25" t="s">
        <v>82</v>
      </c>
      <c r="H117" s="30">
        <f t="shared" si="6"/>
        <v>2.7833333333333332</v>
      </c>
      <c r="I117" t="str">
        <f t="shared" si="7"/>
        <v>Abnormal</v>
      </c>
    </row>
    <row r="118" spans="1:9" x14ac:dyDescent="0.3">
      <c r="A118" s="25" t="s">
        <v>62</v>
      </c>
      <c r="B118" t="s">
        <v>111</v>
      </c>
      <c r="C118" s="30">
        <v>6.23</v>
      </c>
      <c r="D118" s="30">
        <v>10.09</v>
      </c>
      <c r="E118" s="29">
        <v>22</v>
      </c>
      <c r="F118" s="30">
        <v>41.47</v>
      </c>
      <c r="G118" s="25" t="s">
        <v>62</v>
      </c>
      <c r="H118" s="30">
        <f t="shared" si="6"/>
        <v>1.885</v>
      </c>
      <c r="I118" t="str">
        <f t="shared" si="7"/>
        <v>Abnormal</v>
      </c>
    </row>
    <row r="119" spans="1:9" x14ac:dyDescent="0.3">
      <c r="A119" s="25" t="s">
        <v>62</v>
      </c>
      <c r="B119" t="s">
        <v>108</v>
      </c>
      <c r="C119" s="30">
        <v>7.79</v>
      </c>
      <c r="D119" s="30">
        <v>10.76</v>
      </c>
      <c r="E119" s="29">
        <v>29</v>
      </c>
      <c r="F119" s="30">
        <v>81.849999999999994</v>
      </c>
      <c r="G119" s="25" t="s">
        <v>62</v>
      </c>
      <c r="H119" s="30">
        <f t="shared" si="6"/>
        <v>2.8224137931034479</v>
      </c>
      <c r="I119" t="str">
        <f t="shared" si="7"/>
        <v>Abnormal</v>
      </c>
    </row>
    <row r="120" spans="1:9" x14ac:dyDescent="0.3">
      <c r="A120" s="25" t="s">
        <v>62</v>
      </c>
      <c r="B120" t="s">
        <v>109</v>
      </c>
      <c r="C120" s="30">
        <v>6.89</v>
      </c>
      <c r="D120" s="30">
        <v>12.38</v>
      </c>
      <c r="E120" s="29">
        <v>45</v>
      </c>
      <c r="F120" s="30">
        <v>110.23</v>
      </c>
      <c r="G120" s="25" t="s">
        <v>62</v>
      </c>
      <c r="H120" s="30">
        <f t="shared" si="6"/>
        <v>2.4495555555555555</v>
      </c>
      <c r="I120" t="str">
        <f t="shared" si="7"/>
        <v>Abnormal</v>
      </c>
    </row>
    <row r="121" spans="1:9" x14ac:dyDescent="0.3">
      <c r="A121" s="25" t="s">
        <v>73</v>
      </c>
      <c r="B121" t="s">
        <v>111</v>
      </c>
      <c r="C121" s="30">
        <v>3.31</v>
      </c>
      <c r="D121" s="30">
        <v>12.74</v>
      </c>
      <c r="E121" s="29">
        <v>44</v>
      </c>
      <c r="F121" s="30">
        <v>128.79</v>
      </c>
      <c r="G121" s="25" t="s">
        <v>73</v>
      </c>
      <c r="H121" s="30">
        <f t="shared" si="6"/>
        <v>2.9270454545454543</v>
      </c>
      <c r="I121" t="str">
        <f t="shared" si="7"/>
        <v>Abnormal</v>
      </c>
    </row>
    <row r="122" spans="1:9" x14ac:dyDescent="0.3">
      <c r="A122" s="25" t="s">
        <v>73</v>
      </c>
      <c r="B122" t="s">
        <v>108</v>
      </c>
      <c r="C122" s="30">
        <v>7.73</v>
      </c>
      <c r="D122" s="30">
        <v>13.89</v>
      </c>
      <c r="E122" s="29">
        <v>27</v>
      </c>
      <c r="F122" s="30">
        <v>67.13</v>
      </c>
      <c r="G122" s="25" t="s">
        <v>73</v>
      </c>
      <c r="H122" s="30">
        <f t="shared" si="6"/>
        <v>2.4862962962962962</v>
      </c>
      <c r="I122" t="str">
        <f t="shared" si="7"/>
        <v>Abnormal</v>
      </c>
    </row>
    <row r="123" spans="1:9" x14ac:dyDescent="0.3">
      <c r="A123" s="25" t="s">
        <v>100</v>
      </c>
      <c r="B123" t="s">
        <v>108</v>
      </c>
      <c r="C123" s="30">
        <v>5.58</v>
      </c>
      <c r="D123" s="30">
        <v>8.2100000000000009</v>
      </c>
      <c r="E123" s="29">
        <v>16</v>
      </c>
      <c r="F123" s="30">
        <v>35.880000000000003</v>
      </c>
      <c r="G123" s="25" t="s">
        <v>100</v>
      </c>
      <c r="H123" s="30">
        <f t="shared" si="6"/>
        <v>2.2425000000000002</v>
      </c>
      <c r="I123" t="str">
        <f t="shared" si="7"/>
        <v>Normal</v>
      </c>
    </row>
    <row r="124" spans="1:9" x14ac:dyDescent="0.3">
      <c r="A124" s="25" t="s">
        <v>100</v>
      </c>
      <c r="B124" t="s">
        <v>111</v>
      </c>
      <c r="C124" s="30">
        <v>5.53</v>
      </c>
      <c r="D124" s="30">
        <v>11.09</v>
      </c>
      <c r="E124" s="29">
        <v>23</v>
      </c>
      <c r="F124" s="30">
        <v>68.33</v>
      </c>
      <c r="G124" s="25" t="s">
        <v>100</v>
      </c>
      <c r="H124" s="30">
        <f t="shared" si="6"/>
        <v>2.9708695652173911</v>
      </c>
      <c r="I124" t="str">
        <f t="shared" si="7"/>
        <v>Abnormal</v>
      </c>
    </row>
    <row r="125" spans="1:9" x14ac:dyDescent="0.3">
      <c r="A125" s="25" t="s">
        <v>79</v>
      </c>
      <c r="B125" t="s">
        <v>111</v>
      </c>
      <c r="C125" s="30">
        <v>5.48</v>
      </c>
      <c r="D125" s="30">
        <v>12.1</v>
      </c>
      <c r="E125" s="29">
        <v>45</v>
      </c>
      <c r="F125" s="30">
        <v>141.07</v>
      </c>
      <c r="G125" s="25" t="s">
        <v>79</v>
      </c>
      <c r="H125" s="30">
        <f t="shared" si="6"/>
        <v>3.1348888888888888</v>
      </c>
      <c r="I125" t="str">
        <f t="shared" si="7"/>
        <v>Abnormal</v>
      </c>
    </row>
    <row r="126" spans="1:9" x14ac:dyDescent="0.3">
      <c r="A126" s="25" t="s">
        <v>128</v>
      </c>
      <c r="B126" t="s">
        <v>111</v>
      </c>
      <c r="C126" s="30">
        <v>3.43</v>
      </c>
      <c r="D126" s="30">
        <v>14.74</v>
      </c>
      <c r="E126" s="29">
        <v>21</v>
      </c>
      <c r="F126" s="30">
        <v>62.83</v>
      </c>
      <c r="G126" s="25" t="s">
        <v>128</v>
      </c>
      <c r="H126" s="30">
        <f t="shared" si="6"/>
        <v>2.9919047619047618</v>
      </c>
      <c r="I126" t="str">
        <f t="shared" si="7"/>
        <v>Abnormal</v>
      </c>
    </row>
    <row r="127" spans="1:9" x14ac:dyDescent="0.3">
      <c r="A127" s="25" t="s">
        <v>37</v>
      </c>
      <c r="B127" t="s">
        <v>111</v>
      </c>
      <c r="C127" s="30">
        <v>2.9</v>
      </c>
      <c r="D127" s="30">
        <v>7.93</v>
      </c>
      <c r="E127" s="29">
        <v>14</v>
      </c>
      <c r="F127" s="30">
        <v>47.27</v>
      </c>
      <c r="G127" s="25" t="s">
        <v>37</v>
      </c>
      <c r="H127" s="30">
        <f t="shared" si="6"/>
        <v>3.3764285714285718</v>
      </c>
      <c r="I127" t="str">
        <f t="shared" si="7"/>
        <v>Normal</v>
      </c>
    </row>
    <row r="128" spans="1:9" x14ac:dyDescent="0.3">
      <c r="A128" s="25" t="s">
        <v>44</v>
      </c>
      <c r="B128" t="s">
        <v>113</v>
      </c>
      <c r="C128" s="30">
        <v>4.88</v>
      </c>
      <c r="D128" s="30">
        <v>13.2</v>
      </c>
      <c r="E128" s="29">
        <v>16</v>
      </c>
      <c r="F128" s="30">
        <v>31.8</v>
      </c>
      <c r="G128" s="25" t="s">
        <v>44</v>
      </c>
      <c r="H128" s="30">
        <f t="shared" si="6"/>
        <v>1.9875</v>
      </c>
      <c r="I128" t="str">
        <f t="shared" si="7"/>
        <v>Abnormal</v>
      </c>
    </row>
    <row r="129" spans="1:9" x14ac:dyDescent="0.3">
      <c r="A129" s="25" t="s">
        <v>44</v>
      </c>
      <c r="B129" t="s">
        <v>109</v>
      </c>
      <c r="C129" s="30">
        <v>2.2999999999999998</v>
      </c>
      <c r="D129" s="30">
        <v>7.43</v>
      </c>
      <c r="E129" s="29">
        <v>45</v>
      </c>
      <c r="F129" s="30">
        <v>101.27</v>
      </c>
      <c r="G129" s="25" t="s">
        <v>44</v>
      </c>
      <c r="H129" s="30">
        <f t="shared" si="6"/>
        <v>2.2504444444444442</v>
      </c>
      <c r="I129" t="str">
        <f t="shared" si="7"/>
        <v>Normal</v>
      </c>
    </row>
    <row r="130" spans="1:9" x14ac:dyDescent="0.3">
      <c r="A130" s="25" t="s">
        <v>44</v>
      </c>
      <c r="B130" t="s">
        <v>111</v>
      </c>
      <c r="C130" s="30">
        <v>3.41</v>
      </c>
      <c r="D130" s="30">
        <v>5.08</v>
      </c>
      <c r="E130" s="29">
        <v>44</v>
      </c>
      <c r="F130" s="30">
        <v>148.63</v>
      </c>
      <c r="G130" s="25" t="s">
        <v>44</v>
      </c>
      <c r="H130" s="30">
        <f t="shared" ref="H130:H150" si="8">F130/E130</f>
        <v>3.3779545454545454</v>
      </c>
      <c r="I130" t="str">
        <f t="shared" ref="I130:I150" si="9">IF(D130&gt;10,"Abnormal","Normal")</f>
        <v>Normal</v>
      </c>
    </row>
    <row r="131" spans="1:9" x14ac:dyDescent="0.3">
      <c r="A131" s="25" t="s">
        <v>44</v>
      </c>
      <c r="B131" t="s">
        <v>108</v>
      </c>
      <c r="C131" s="30">
        <v>4.4000000000000004</v>
      </c>
      <c r="D131" s="30">
        <v>5.47</v>
      </c>
      <c r="E131" s="29">
        <v>33</v>
      </c>
      <c r="F131" s="30">
        <v>69.98</v>
      </c>
      <c r="G131" s="25" t="s">
        <v>44</v>
      </c>
      <c r="H131" s="30">
        <f t="shared" si="8"/>
        <v>2.1206060606060606</v>
      </c>
      <c r="I131" t="str">
        <f t="shared" si="9"/>
        <v>Normal</v>
      </c>
    </row>
    <row r="132" spans="1:9" x14ac:dyDescent="0.3">
      <c r="A132" s="25" t="s">
        <v>44</v>
      </c>
      <c r="B132" t="s">
        <v>109</v>
      </c>
      <c r="C132" s="30">
        <v>4.75</v>
      </c>
      <c r="D132" s="30">
        <v>14.98</v>
      </c>
      <c r="E132" s="29">
        <v>19</v>
      </c>
      <c r="F132" s="30">
        <v>44.8</v>
      </c>
      <c r="G132" s="25" t="s">
        <v>44</v>
      </c>
      <c r="H132" s="30">
        <f t="shared" si="8"/>
        <v>2.357894736842105</v>
      </c>
      <c r="I132" t="str">
        <f t="shared" si="9"/>
        <v>Abnormal</v>
      </c>
    </row>
    <row r="133" spans="1:9" x14ac:dyDescent="0.3">
      <c r="A133" s="25" t="s">
        <v>77</v>
      </c>
      <c r="B133" t="s">
        <v>111</v>
      </c>
      <c r="C133" s="30">
        <v>6.32</v>
      </c>
      <c r="D133" s="30">
        <v>11.06</v>
      </c>
      <c r="E133" s="29">
        <v>27</v>
      </c>
      <c r="F133" s="30">
        <v>57.64</v>
      </c>
      <c r="G133" s="25" t="s">
        <v>77</v>
      </c>
      <c r="H133" s="30">
        <f t="shared" si="8"/>
        <v>2.1348148148148147</v>
      </c>
      <c r="I133" t="str">
        <f t="shared" si="9"/>
        <v>Abnormal</v>
      </c>
    </row>
    <row r="134" spans="1:9" x14ac:dyDescent="0.3">
      <c r="A134" s="25" t="s">
        <v>98</v>
      </c>
      <c r="B134" t="s">
        <v>109</v>
      </c>
      <c r="C134" s="30">
        <v>7.47</v>
      </c>
      <c r="D134" s="30">
        <v>14.29</v>
      </c>
      <c r="E134" s="29">
        <v>36</v>
      </c>
      <c r="F134" s="30">
        <v>80.42</v>
      </c>
      <c r="G134" s="25" t="s">
        <v>98</v>
      </c>
      <c r="H134" s="30">
        <f t="shared" si="8"/>
        <v>2.233888888888889</v>
      </c>
      <c r="I134" t="str">
        <f t="shared" si="9"/>
        <v>Abnormal</v>
      </c>
    </row>
    <row r="135" spans="1:9" x14ac:dyDescent="0.3">
      <c r="A135" s="25" t="s">
        <v>98</v>
      </c>
      <c r="B135" t="s">
        <v>115</v>
      </c>
      <c r="C135" s="30">
        <v>3.76</v>
      </c>
      <c r="D135" s="30">
        <v>9.0299999999999994</v>
      </c>
      <c r="E135" s="29">
        <v>21</v>
      </c>
      <c r="F135" s="30">
        <v>47.13</v>
      </c>
      <c r="G135" s="25" t="s">
        <v>98</v>
      </c>
      <c r="H135" s="30">
        <f t="shared" si="8"/>
        <v>2.2442857142857142</v>
      </c>
      <c r="I135" t="str">
        <f t="shared" si="9"/>
        <v>Normal</v>
      </c>
    </row>
    <row r="136" spans="1:9" x14ac:dyDescent="0.3">
      <c r="A136" s="25" t="s">
        <v>99</v>
      </c>
      <c r="B136" t="s">
        <v>109</v>
      </c>
      <c r="C136" s="30">
        <v>2.17</v>
      </c>
      <c r="D136" s="30">
        <v>10.91</v>
      </c>
      <c r="E136" s="29">
        <v>20</v>
      </c>
      <c r="F136" s="30">
        <v>60.57</v>
      </c>
      <c r="G136" s="25" t="s">
        <v>99</v>
      </c>
      <c r="H136" s="30">
        <f t="shared" si="8"/>
        <v>3.0285000000000002</v>
      </c>
      <c r="I136" t="str">
        <f t="shared" si="9"/>
        <v>Abnormal</v>
      </c>
    </row>
    <row r="137" spans="1:9" x14ac:dyDescent="0.3">
      <c r="A137" s="25" t="s">
        <v>99</v>
      </c>
      <c r="B137" t="s">
        <v>115</v>
      </c>
      <c r="C137" s="30">
        <v>7.22</v>
      </c>
      <c r="D137" s="30">
        <v>6.75</v>
      </c>
      <c r="E137" s="29">
        <v>36</v>
      </c>
      <c r="F137" s="30">
        <v>68.5</v>
      </c>
      <c r="G137" s="25" t="s">
        <v>99</v>
      </c>
      <c r="H137" s="30">
        <f t="shared" si="8"/>
        <v>1.9027777777777777</v>
      </c>
      <c r="I137" t="str">
        <f t="shared" si="9"/>
        <v>Normal</v>
      </c>
    </row>
    <row r="138" spans="1:9" x14ac:dyDescent="0.3">
      <c r="A138" s="25" t="s">
        <v>121</v>
      </c>
      <c r="B138" t="s">
        <v>111</v>
      </c>
      <c r="C138" s="30">
        <v>4.04</v>
      </c>
      <c r="D138" s="30">
        <v>13.77</v>
      </c>
      <c r="E138" s="29">
        <v>29</v>
      </c>
      <c r="F138" s="30">
        <v>57.47</v>
      </c>
      <c r="G138" s="25" t="s">
        <v>121</v>
      </c>
      <c r="H138" s="30">
        <f t="shared" si="8"/>
        <v>1.9817241379310344</v>
      </c>
      <c r="I138" t="str">
        <f t="shared" si="9"/>
        <v>Abnormal</v>
      </c>
    </row>
    <row r="139" spans="1:9" x14ac:dyDescent="0.3">
      <c r="A139" s="25" t="s">
        <v>48</v>
      </c>
      <c r="B139" t="s">
        <v>115</v>
      </c>
      <c r="C139" s="30">
        <v>7.9</v>
      </c>
      <c r="D139" s="30">
        <v>10.06</v>
      </c>
      <c r="E139" s="29">
        <v>24</v>
      </c>
      <c r="F139" s="30">
        <v>57.23</v>
      </c>
      <c r="G139" s="25" t="s">
        <v>48</v>
      </c>
      <c r="H139" s="30">
        <f t="shared" si="8"/>
        <v>2.3845833333333331</v>
      </c>
      <c r="I139" t="str">
        <f t="shared" si="9"/>
        <v>Abnormal</v>
      </c>
    </row>
    <row r="140" spans="1:9" x14ac:dyDescent="0.3">
      <c r="A140" s="25" t="s">
        <v>48</v>
      </c>
      <c r="B140" t="s">
        <v>109</v>
      </c>
      <c r="C140" s="30">
        <v>2.62</v>
      </c>
      <c r="D140" s="30">
        <v>5.98</v>
      </c>
      <c r="E140" s="29">
        <v>40</v>
      </c>
      <c r="F140" s="30">
        <v>122.24</v>
      </c>
      <c r="G140" s="25" t="s">
        <v>48</v>
      </c>
      <c r="H140" s="30">
        <f t="shared" si="8"/>
        <v>3.056</v>
      </c>
      <c r="I140" t="str">
        <f t="shared" si="9"/>
        <v>Normal</v>
      </c>
    </row>
    <row r="141" spans="1:9" x14ac:dyDescent="0.3">
      <c r="A141" s="25" t="s">
        <v>48</v>
      </c>
      <c r="B141" t="s">
        <v>111</v>
      </c>
      <c r="C141" s="30">
        <v>4.91</v>
      </c>
      <c r="D141" s="30">
        <v>5.0199999999999996</v>
      </c>
      <c r="E141" s="29">
        <v>43</v>
      </c>
      <c r="F141" s="28">
        <v>102.55</v>
      </c>
      <c r="G141" s="25" t="s">
        <v>48</v>
      </c>
      <c r="H141" s="30">
        <f t="shared" si="8"/>
        <v>2.3848837209302327</v>
      </c>
      <c r="I141" t="str">
        <f t="shared" si="9"/>
        <v>Normal</v>
      </c>
    </row>
    <row r="142" spans="1:9" x14ac:dyDescent="0.3">
      <c r="A142" s="25" t="s">
        <v>91</v>
      </c>
      <c r="B142" t="s">
        <v>113</v>
      </c>
      <c r="C142" s="30">
        <v>4.7</v>
      </c>
      <c r="D142" s="30">
        <v>9.85</v>
      </c>
      <c r="E142" s="29">
        <v>36</v>
      </c>
      <c r="F142" s="30">
        <v>81.27</v>
      </c>
      <c r="G142" s="25" t="s">
        <v>91</v>
      </c>
      <c r="H142" s="30">
        <f t="shared" si="8"/>
        <v>2.2574999999999998</v>
      </c>
      <c r="I142" t="str">
        <f t="shared" si="9"/>
        <v>Normal</v>
      </c>
    </row>
    <row r="143" spans="1:9" x14ac:dyDescent="0.3">
      <c r="A143" s="25" t="s">
        <v>118</v>
      </c>
      <c r="B143" t="s">
        <v>113</v>
      </c>
      <c r="C143" s="30">
        <v>4.0599999999999996</v>
      </c>
      <c r="D143" s="30">
        <v>6.52</v>
      </c>
      <c r="E143" s="29">
        <v>21</v>
      </c>
      <c r="F143" s="30">
        <v>61.57</v>
      </c>
      <c r="G143" s="25" t="s">
        <v>118</v>
      </c>
      <c r="H143" s="30">
        <f t="shared" si="8"/>
        <v>2.9319047619047618</v>
      </c>
      <c r="I143" t="str">
        <f t="shared" si="9"/>
        <v>Normal</v>
      </c>
    </row>
    <row r="144" spans="1:9" x14ac:dyDescent="0.3">
      <c r="A144" s="25" t="s">
        <v>118</v>
      </c>
      <c r="B144" t="s">
        <v>109</v>
      </c>
      <c r="C144" s="30">
        <v>7.54</v>
      </c>
      <c r="D144" s="30">
        <v>14.97</v>
      </c>
      <c r="E144" s="29">
        <v>19</v>
      </c>
      <c r="F144" s="30">
        <v>41.38</v>
      </c>
      <c r="G144" s="25" t="s">
        <v>118</v>
      </c>
      <c r="H144" s="30">
        <f t="shared" si="8"/>
        <v>2.1778947368421053</v>
      </c>
      <c r="I144" t="str">
        <f t="shared" si="9"/>
        <v>Abnormal</v>
      </c>
    </row>
    <row r="145" spans="1:9" x14ac:dyDescent="0.3">
      <c r="A145" s="25" t="s">
        <v>118</v>
      </c>
      <c r="B145" t="s">
        <v>113</v>
      </c>
      <c r="C145" s="30">
        <v>6.49</v>
      </c>
      <c r="D145" s="30">
        <v>6.23</v>
      </c>
      <c r="E145" s="29">
        <v>34</v>
      </c>
      <c r="F145" s="30">
        <v>113.14</v>
      </c>
      <c r="G145" s="25" t="s">
        <v>118</v>
      </c>
      <c r="H145" s="30">
        <f t="shared" si="8"/>
        <v>3.3276470588235294</v>
      </c>
      <c r="I145" t="str">
        <f t="shared" si="9"/>
        <v>Normal</v>
      </c>
    </row>
    <row r="146" spans="1:9" x14ac:dyDescent="0.3">
      <c r="A146" s="25" t="s">
        <v>125</v>
      </c>
      <c r="B146" t="s">
        <v>111</v>
      </c>
      <c r="C146" s="30">
        <v>5.76</v>
      </c>
      <c r="D146" s="30">
        <v>9.5299999999999994</v>
      </c>
      <c r="E146" s="29">
        <v>10</v>
      </c>
      <c r="F146" s="30">
        <v>27.94</v>
      </c>
      <c r="G146" s="25" t="s">
        <v>125</v>
      </c>
      <c r="H146" s="30">
        <f t="shared" si="8"/>
        <v>2.794</v>
      </c>
      <c r="I146" t="str">
        <f t="shared" si="9"/>
        <v>Normal</v>
      </c>
    </row>
    <row r="147" spans="1:9" x14ac:dyDescent="0.3">
      <c r="A147" s="25" t="s">
        <v>69</v>
      </c>
      <c r="B147" t="s">
        <v>108</v>
      </c>
      <c r="C147" s="30">
        <v>6.86</v>
      </c>
      <c r="D147" s="30">
        <v>6.9</v>
      </c>
      <c r="E147" s="29">
        <v>11</v>
      </c>
      <c r="F147" s="30">
        <v>35.299999999999997</v>
      </c>
      <c r="G147" s="25" t="s">
        <v>69</v>
      </c>
      <c r="H147" s="30">
        <f t="shared" si="8"/>
        <v>3.209090909090909</v>
      </c>
      <c r="I147" t="str">
        <f t="shared" si="9"/>
        <v>Normal</v>
      </c>
    </row>
    <row r="148" spans="1:9" x14ac:dyDescent="0.3">
      <c r="A148" s="25" t="s">
        <v>43</v>
      </c>
      <c r="B148" t="s">
        <v>111</v>
      </c>
      <c r="C148" s="30">
        <v>4.1900000000000004</v>
      </c>
      <c r="D148" s="30">
        <v>5.22</v>
      </c>
      <c r="E148" s="29">
        <v>32</v>
      </c>
      <c r="F148" s="30">
        <v>105.24</v>
      </c>
      <c r="G148" s="25" t="s">
        <v>43</v>
      </c>
      <c r="H148" s="30">
        <f t="shared" si="8"/>
        <v>3.2887499999999998</v>
      </c>
      <c r="I148" t="str">
        <f t="shared" si="9"/>
        <v>Normal</v>
      </c>
    </row>
    <row r="149" spans="1:9" x14ac:dyDescent="0.3">
      <c r="A149" s="25" t="s">
        <v>63</v>
      </c>
      <c r="B149" t="s">
        <v>113</v>
      </c>
      <c r="C149" s="30">
        <v>4.57</v>
      </c>
      <c r="D149" s="30">
        <v>10.56</v>
      </c>
      <c r="E149" s="29">
        <v>41</v>
      </c>
      <c r="F149" s="30">
        <v>139.38999999999999</v>
      </c>
      <c r="G149" s="25" t="s">
        <v>63</v>
      </c>
      <c r="H149" s="30">
        <f t="shared" si="8"/>
        <v>3.3997560975609753</v>
      </c>
      <c r="I149" t="str">
        <f t="shared" si="9"/>
        <v>Abnormal</v>
      </c>
    </row>
    <row r="150" spans="1:9" x14ac:dyDescent="0.3">
      <c r="A150" s="25" t="s">
        <v>75</v>
      </c>
      <c r="B150" t="s">
        <v>111</v>
      </c>
      <c r="C150" s="30">
        <v>2.41</v>
      </c>
      <c r="D150" s="30">
        <v>9.43</v>
      </c>
      <c r="E150" s="29">
        <v>13</v>
      </c>
      <c r="F150" s="30">
        <v>35.69</v>
      </c>
      <c r="G150" s="25" t="s">
        <v>75</v>
      </c>
      <c r="H150" s="30">
        <f t="shared" si="8"/>
        <v>2.7453846153846153</v>
      </c>
      <c r="I150" t="str">
        <f t="shared" si="9"/>
        <v>Normal</v>
      </c>
    </row>
  </sheetData>
  <autoFilter ref="A1:I150" xr:uid="{B8A7A437-61A6-44B9-912E-335EC9FA94BF}">
    <sortState xmlns:xlrd2="http://schemas.microsoft.com/office/spreadsheetml/2017/richdata2" ref="A2:I150">
      <sortCondition ref="G1:G150"/>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Soal</vt:lpstr>
      <vt:lpstr>Produksi</vt:lpstr>
      <vt:lpstr>Hauling</vt:lpstr>
      <vt:lpstr>Fleet Master</vt:lpstr>
      <vt:lpstr>Technical Test</vt:lpstr>
      <vt:lpstr>Produksi_Filled</vt:lpstr>
      <vt:lpstr>Produksi_Unik</vt:lpstr>
      <vt:lpstr>Hauling_Filled</vt:lpstr>
      <vt:lpstr>Hauling_Unik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MGE-IT</dc:creator>
  <cp:lastModifiedBy>Suci Eka Azhari</cp:lastModifiedBy>
  <dcterms:created xsi:type="dcterms:W3CDTF">2025-12-15T01:42:29Z</dcterms:created>
  <dcterms:modified xsi:type="dcterms:W3CDTF">2025-12-18T03:20:34Z</dcterms:modified>
</cp:coreProperties>
</file>